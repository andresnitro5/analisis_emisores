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BEE29CB5-74D5-4BAE-97C7-9A5FB3850B3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ncos" sheetId="1" r:id="rId1"/>
    <sheet name="ROA_ROE" sheetId="2" r:id="rId2"/>
    <sheet name="Ingresos_Egresos " sheetId="3" r:id="rId3"/>
    <sheet name="ICV" sheetId="4" r:id="rId4"/>
    <sheet name="IRL-CFEN" sheetId="5" r:id="rId5"/>
    <sheet name="Solvencia" sheetId="6" r:id="rId6"/>
    <sheet name="Cartera" sheetId="9" r:id="rId7"/>
  </sheets>
  <calcPr calcId="191028"/>
  <pivotCaches>
    <pivotCache cacheId="43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sinloUKdWx3grqmE1K5yGVnzLwu4HntExhh2ikwaU8="/>
    </ext>
  </extLst>
</workbook>
</file>

<file path=xl/calcChain.xml><?xml version="1.0" encoding="utf-8"?>
<calcChain xmlns="http://schemas.openxmlformats.org/spreadsheetml/2006/main">
  <c r="K5" i="5" l="1"/>
  <c r="K6" i="5"/>
  <c r="K7" i="5"/>
  <c r="K8" i="5"/>
  <c r="K9" i="5"/>
  <c r="K4" i="5"/>
  <c r="F10" i="5"/>
  <c r="M18" i="1"/>
  <c r="L18" i="1"/>
  <c r="M24" i="1"/>
  <c r="M23" i="1"/>
  <c r="K23" i="1"/>
  <c r="L23" i="1"/>
  <c r="K22" i="1"/>
  <c r="L22" i="1"/>
  <c r="M22" i="1"/>
  <c r="K21" i="1"/>
  <c r="L21" i="1"/>
  <c r="M21" i="1"/>
  <c r="K20" i="1"/>
  <c r="L20" i="1"/>
  <c r="M20" i="1"/>
  <c r="K19" i="1"/>
  <c r="L19" i="1"/>
  <c r="M19" i="1"/>
  <c r="K18" i="1"/>
  <c r="J18" i="1"/>
  <c r="J19" i="1"/>
  <c r="I18" i="1"/>
  <c r="F108" i="9"/>
  <c r="F107" i="9"/>
  <c r="F106" i="9"/>
  <c r="F105" i="9"/>
  <c r="O10" i="6"/>
  <c r="N10" i="6"/>
  <c r="M10" i="6"/>
  <c r="L10" i="6"/>
  <c r="K10" i="6"/>
  <c r="J10" i="6"/>
  <c r="G10" i="6"/>
  <c r="F10" i="6"/>
  <c r="E10" i="6"/>
  <c r="D10" i="6"/>
  <c r="C10" i="6"/>
  <c r="B10" i="6"/>
  <c r="P9" i="6"/>
  <c r="H9" i="6"/>
  <c r="P8" i="6"/>
  <c r="H8" i="6"/>
  <c r="P7" i="6"/>
  <c r="H7" i="6"/>
  <c r="P6" i="6"/>
  <c r="H6" i="6"/>
  <c r="P5" i="6"/>
  <c r="H5" i="6"/>
  <c r="P4" i="6"/>
  <c r="H4" i="6"/>
  <c r="U10" i="5"/>
  <c r="T10" i="5"/>
  <c r="S10" i="5"/>
  <c r="R10" i="5"/>
  <c r="Q10" i="5"/>
  <c r="P10" i="5"/>
  <c r="G10" i="5"/>
  <c r="E10" i="5"/>
  <c r="D10" i="5"/>
  <c r="C10" i="5"/>
  <c r="B10" i="5"/>
  <c r="AB9" i="5"/>
  <c r="AA9" i="5"/>
  <c r="Z9" i="5"/>
  <c r="Y9" i="5"/>
  <c r="X9" i="5"/>
  <c r="W9" i="5"/>
  <c r="V9" i="5"/>
  <c r="N9" i="5"/>
  <c r="M9" i="5"/>
  <c r="L9" i="5"/>
  <c r="J9" i="5"/>
  <c r="I9" i="5"/>
  <c r="H9" i="5"/>
  <c r="AB8" i="5"/>
  <c r="AA8" i="5"/>
  <c r="Z8" i="5"/>
  <c r="Y8" i="5"/>
  <c r="X8" i="5"/>
  <c r="W8" i="5"/>
  <c r="V8" i="5"/>
  <c r="N8" i="5"/>
  <c r="M8" i="5"/>
  <c r="L8" i="5"/>
  <c r="J8" i="5"/>
  <c r="I8" i="5"/>
  <c r="H8" i="5"/>
  <c r="AB7" i="5"/>
  <c r="AA7" i="5"/>
  <c r="Z7" i="5"/>
  <c r="Y7" i="5"/>
  <c r="X7" i="5"/>
  <c r="W7" i="5"/>
  <c r="V7" i="5"/>
  <c r="N7" i="5"/>
  <c r="M7" i="5"/>
  <c r="L7" i="5"/>
  <c r="J7" i="5"/>
  <c r="I7" i="5"/>
  <c r="H7" i="5"/>
  <c r="AB6" i="5"/>
  <c r="AA6" i="5"/>
  <c r="Z6" i="5"/>
  <c r="Y6" i="5"/>
  <c r="X6" i="5"/>
  <c r="W6" i="5"/>
  <c r="V6" i="5"/>
  <c r="N6" i="5"/>
  <c r="M6" i="5"/>
  <c r="L6" i="5"/>
  <c r="J6" i="5"/>
  <c r="I6" i="5"/>
  <c r="H6" i="5"/>
  <c r="AB5" i="5"/>
  <c r="AA5" i="5"/>
  <c r="Z5" i="5"/>
  <c r="Y5" i="5"/>
  <c r="X5" i="5"/>
  <c r="W5" i="5"/>
  <c r="V5" i="5"/>
  <c r="N5" i="5"/>
  <c r="M5" i="5"/>
  <c r="L5" i="5"/>
  <c r="J5" i="5"/>
  <c r="I5" i="5"/>
  <c r="H5" i="5"/>
  <c r="AB4" i="5"/>
  <c r="AA4" i="5"/>
  <c r="Z4" i="5"/>
  <c r="Y4" i="5"/>
  <c r="X4" i="5"/>
  <c r="W4" i="5"/>
  <c r="V4" i="5"/>
  <c r="N4" i="5"/>
  <c r="M4" i="5"/>
  <c r="L4" i="5"/>
  <c r="J4" i="5"/>
  <c r="I4" i="5"/>
  <c r="H4" i="5"/>
  <c r="G10" i="4"/>
  <c r="F10" i="4"/>
  <c r="E10" i="4"/>
  <c r="D10" i="4"/>
  <c r="C10" i="4"/>
  <c r="B10" i="4"/>
  <c r="N9" i="4"/>
  <c r="M9" i="4"/>
  <c r="L9" i="4"/>
  <c r="K9" i="4"/>
  <c r="J9" i="4"/>
  <c r="I9" i="4"/>
  <c r="H9" i="4"/>
  <c r="N8" i="4"/>
  <c r="M8" i="4"/>
  <c r="L8" i="4"/>
  <c r="K8" i="4"/>
  <c r="J8" i="4"/>
  <c r="I8" i="4"/>
  <c r="H8" i="4"/>
  <c r="N7" i="4"/>
  <c r="M7" i="4"/>
  <c r="L7" i="4"/>
  <c r="K7" i="4"/>
  <c r="J7" i="4"/>
  <c r="I7" i="4"/>
  <c r="H7" i="4"/>
  <c r="N6" i="4"/>
  <c r="M6" i="4"/>
  <c r="L6" i="4"/>
  <c r="K6" i="4"/>
  <c r="J6" i="4"/>
  <c r="I6" i="4"/>
  <c r="H6" i="4"/>
  <c r="N5" i="4"/>
  <c r="M5" i="4"/>
  <c r="L5" i="4"/>
  <c r="K5" i="4"/>
  <c r="J5" i="4"/>
  <c r="I5" i="4"/>
  <c r="H5" i="4"/>
  <c r="N4" i="4"/>
  <c r="M4" i="4"/>
  <c r="L4" i="4"/>
  <c r="K4" i="4"/>
  <c r="J4" i="4"/>
  <c r="I4" i="4"/>
  <c r="H4" i="4"/>
  <c r="L10" i="3"/>
  <c r="K10" i="3"/>
  <c r="J10" i="3"/>
  <c r="I10" i="3"/>
  <c r="E10" i="3"/>
  <c r="D10" i="3"/>
  <c r="C10" i="3"/>
  <c r="B10" i="3"/>
  <c r="O9" i="3"/>
  <c r="N9" i="3"/>
  <c r="M9" i="3"/>
  <c r="H9" i="3"/>
  <c r="G9" i="3"/>
  <c r="F9" i="3"/>
  <c r="O8" i="3"/>
  <c r="N8" i="3"/>
  <c r="M8" i="3"/>
  <c r="H8" i="3"/>
  <c r="G8" i="3"/>
  <c r="F8" i="3"/>
  <c r="O7" i="3"/>
  <c r="N7" i="3"/>
  <c r="M7" i="3"/>
  <c r="H7" i="3"/>
  <c r="G7" i="3"/>
  <c r="F7" i="3"/>
  <c r="O6" i="3"/>
  <c r="N6" i="3"/>
  <c r="M6" i="3"/>
  <c r="H6" i="3"/>
  <c r="G6" i="3"/>
  <c r="F6" i="3"/>
  <c r="O5" i="3"/>
  <c r="N5" i="3"/>
  <c r="M5" i="3"/>
  <c r="H5" i="3"/>
  <c r="G5" i="3"/>
  <c r="F5" i="3"/>
  <c r="O4" i="3"/>
  <c r="O10" i="3" s="1"/>
  <c r="N4" i="3"/>
  <c r="N10" i="3" s="1"/>
  <c r="M4" i="3"/>
  <c r="M10" i="3" s="1"/>
  <c r="H4" i="3"/>
  <c r="H10" i="3" s="1"/>
  <c r="G4" i="3"/>
  <c r="G10" i="3" s="1"/>
  <c r="F4" i="3"/>
  <c r="F10" i="3" s="1"/>
  <c r="V10" i="2"/>
  <c r="U10" i="2"/>
  <c r="T10" i="2"/>
  <c r="S10" i="2"/>
  <c r="R10" i="2"/>
  <c r="Q10" i="2"/>
  <c r="P10" i="2"/>
  <c r="H10" i="2"/>
  <c r="G10" i="2"/>
  <c r="F10" i="2"/>
  <c r="E10" i="2"/>
  <c r="D10" i="2"/>
  <c r="C10" i="2"/>
  <c r="AC9" i="2"/>
  <c r="AB9" i="2"/>
  <c r="AA9" i="2"/>
  <c r="Z9" i="2"/>
  <c r="Y9" i="2"/>
  <c r="X9" i="2"/>
  <c r="W9" i="2"/>
  <c r="O9" i="2"/>
  <c r="N9" i="2"/>
  <c r="M9" i="2"/>
  <c r="L9" i="2"/>
  <c r="K9" i="2"/>
  <c r="J9" i="2"/>
  <c r="I9" i="2"/>
  <c r="AC8" i="2"/>
  <c r="AB8" i="2"/>
  <c r="AA8" i="2"/>
  <c r="Z8" i="2"/>
  <c r="Y8" i="2"/>
  <c r="X8" i="2"/>
  <c r="W8" i="2"/>
  <c r="O8" i="2"/>
  <c r="N8" i="2"/>
  <c r="M8" i="2"/>
  <c r="L8" i="2"/>
  <c r="K8" i="2"/>
  <c r="J8" i="2"/>
  <c r="I8" i="2"/>
  <c r="AC7" i="2"/>
  <c r="AB7" i="2"/>
  <c r="AA7" i="2"/>
  <c r="Z7" i="2"/>
  <c r="Y7" i="2"/>
  <c r="X7" i="2"/>
  <c r="W7" i="2"/>
  <c r="O7" i="2"/>
  <c r="N7" i="2"/>
  <c r="M7" i="2"/>
  <c r="L7" i="2"/>
  <c r="K7" i="2"/>
  <c r="J7" i="2"/>
  <c r="I7" i="2"/>
  <c r="AC6" i="2"/>
  <c r="AB6" i="2"/>
  <c r="AA6" i="2"/>
  <c r="Z6" i="2"/>
  <c r="Y6" i="2"/>
  <c r="X6" i="2"/>
  <c r="W6" i="2"/>
  <c r="O6" i="2"/>
  <c r="N6" i="2"/>
  <c r="M6" i="2"/>
  <c r="L6" i="2"/>
  <c r="K6" i="2"/>
  <c r="J6" i="2"/>
  <c r="I6" i="2"/>
  <c r="AC5" i="2"/>
  <c r="AB5" i="2"/>
  <c r="AA5" i="2"/>
  <c r="Z5" i="2"/>
  <c r="Y5" i="2"/>
  <c r="X5" i="2"/>
  <c r="W5" i="2"/>
  <c r="O5" i="2"/>
  <c r="N5" i="2"/>
  <c r="M5" i="2"/>
  <c r="L5" i="2"/>
  <c r="K5" i="2"/>
  <c r="J5" i="2"/>
  <c r="I5" i="2"/>
  <c r="AC4" i="2"/>
  <c r="AB4" i="2"/>
  <c r="AA4" i="2"/>
  <c r="Z4" i="2"/>
  <c r="Y4" i="2"/>
  <c r="X4" i="2"/>
  <c r="W4" i="2"/>
  <c r="O4" i="2"/>
  <c r="N4" i="2"/>
  <c r="M4" i="2"/>
  <c r="L4" i="2"/>
  <c r="K4" i="2"/>
  <c r="J4" i="2"/>
  <c r="I4" i="2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G21" i="1"/>
  <c r="F21" i="1"/>
  <c r="J20" i="1"/>
  <c r="I20" i="1"/>
  <c r="H20" i="1"/>
  <c r="G20" i="1"/>
  <c r="F20" i="1"/>
  <c r="I19" i="1"/>
  <c r="H19" i="1"/>
  <c r="G19" i="1"/>
  <c r="F19" i="1"/>
  <c r="H18" i="1"/>
  <c r="G18" i="1"/>
  <c r="F18" i="1"/>
  <c r="N19" i="1" l="1"/>
  <c r="N20" i="1"/>
  <c r="N21" i="1"/>
  <c r="N22" i="1"/>
  <c r="N23" i="1"/>
  <c r="N18" i="1"/>
  <c r="M10" i="5"/>
  <c r="AA10" i="5"/>
</calcChain>
</file>

<file path=xl/sharedStrings.xml><?xml version="1.0" encoding="utf-8"?>
<sst xmlns="http://schemas.openxmlformats.org/spreadsheetml/2006/main" count="393" uniqueCount="86">
  <si>
    <t xml:space="preserve">Tomado de la SFC </t>
  </si>
  <si>
    <t>https://www.superfinanciera.gov.co/publicaciones/60949/informes-y-cifrascifrasestablecimientos-de-creditoinformacion-periodicamensualprincipales-variables-de-los-establecimientos-de-credito-60949/</t>
  </si>
  <si>
    <t>ESTABLECIMIENTOS DE CREDITO</t>
  </si>
  <si>
    <t xml:space="preserve">PRINCIPALES VARIABLES POR INTERMEDIARIO PUBLICO Y PRIVADOS </t>
  </si>
  <si>
    <t>Millones de pesos y porcentajes</t>
  </si>
  <si>
    <t>AGRUPACION</t>
  </si>
  <si>
    <t>CLASIFICACION</t>
  </si>
  <si>
    <t>ACTIVO</t>
  </si>
  <si>
    <t>PASIVO</t>
  </si>
  <si>
    <t>PATRIMONIO</t>
  </si>
  <si>
    <t>RESULTADOS DEL EJERCICIO AÑO ANTES</t>
  </si>
  <si>
    <t>RESULTADOS DEL EJERCICIO MES ANTES</t>
  </si>
  <si>
    <t>RESULTADOS DEL EJERCICIO</t>
  </si>
  <si>
    <t>NOMBRE ENTIDAD</t>
  </si>
  <si>
    <t>SECTOR PRIVADO NACIONAL</t>
  </si>
  <si>
    <t>BANCOS NACIONALES</t>
  </si>
  <si>
    <t>Bancolombia</t>
  </si>
  <si>
    <t>Banco de Bogotá</t>
  </si>
  <si>
    <t>Banco Davivienda</t>
  </si>
  <si>
    <t>Banco de Occidente</t>
  </si>
  <si>
    <t>SECTOR PRIVADO EXTRANJEROS</t>
  </si>
  <si>
    <t>BANCOS EXTRANJEROS</t>
  </si>
  <si>
    <t>BBVA Colombia</t>
  </si>
  <si>
    <t>Banco Popular</t>
  </si>
  <si>
    <t>Grafica Utilidades</t>
  </si>
  <si>
    <t>Promedio Jun - 2026</t>
  </si>
  <si>
    <t xml:space="preserve">Tomado de la página de la SFC </t>
  </si>
  <si>
    <t>https://www.superfinanciera.gov.co/publicaciones/10084734/informes-y-cifrascifras-10084734/</t>
  </si>
  <si>
    <t>ROE</t>
  </si>
  <si>
    <t>% 2024-2025</t>
  </si>
  <si>
    <t xml:space="preserve">PROMEDIO X ENTIDAD </t>
  </si>
  <si>
    <t>ROA</t>
  </si>
  <si>
    <t>Promedio - dic 2023</t>
  </si>
  <si>
    <t>Promedio - dic 2024</t>
  </si>
  <si>
    <t>Promedio - Jun  2025</t>
  </si>
  <si>
    <t>Promedio - dic 2025</t>
  </si>
  <si>
    <t>Promedio dic - 2023</t>
  </si>
  <si>
    <t>Promedio dic - 2024</t>
  </si>
  <si>
    <t>Promedio dic - 2025</t>
  </si>
  <si>
    <t>PROMEDIO X AÑO</t>
  </si>
  <si>
    <t>Tomado de los ESF y ER de los emisores</t>
  </si>
  <si>
    <t>Ingresos por intereses</t>
  </si>
  <si>
    <t>Variación 2022/2023</t>
  </si>
  <si>
    <t>Variación 2023/2024</t>
  </si>
  <si>
    <t>Variación 2024/2025</t>
  </si>
  <si>
    <t>Egresos por intereses</t>
  </si>
  <si>
    <t>Variación % de ingresos y egresos</t>
  </si>
  <si>
    <t xml:space="preserve">Calidad Por Mora </t>
  </si>
  <si>
    <t>Calidad Por Mora Mas Castigo</t>
  </si>
  <si>
    <t xml:space="preserve">Por Riesgo </t>
  </si>
  <si>
    <t>Promedio 2023</t>
  </si>
  <si>
    <t>Promedio 2024</t>
  </si>
  <si>
    <t>Promedio Jun 2025</t>
  </si>
  <si>
    <t>Promedio Dic 2025</t>
  </si>
  <si>
    <t>Promedio Jun 2026</t>
  </si>
  <si>
    <t>Variación 2024-2025</t>
  </si>
  <si>
    <t>Indice de calidad de cartera por mora</t>
  </si>
  <si>
    <t xml:space="preserve">IRL </t>
  </si>
  <si>
    <t>Mínimo regulatorio</t>
  </si>
  <si>
    <t xml:space="preserve">CFEN  </t>
  </si>
  <si>
    <t>IRL</t>
  </si>
  <si>
    <t>CFEN</t>
  </si>
  <si>
    <t xml:space="preserve">Solvencia básica </t>
  </si>
  <si>
    <t>Mínimo regulatorio solvencia básica</t>
  </si>
  <si>
    <t>Solvencia total</t>
  </si>
  <si>
    <t>Mínimo regulatorio solvencia total</t>
  </si>
  <si>
    <t>Solvencia</t>
  </si>
  <si>
    <t>Año</t>
  </si>
  <si>
    <t>Banco</t>
  </si>
  <si>
    <t>Modalidad De Credito</t>
  </si>
  <si>
    <t>Saldo Bruto</t>
  </si>
  <si>
    <t>Saldo Mora</t>
  </si>
  <si>
    <t>Saldo Riesgo</t>
  </si>
  <si>
    <t>Saldo castigado</t>
  </si>
  <si>
    <t>Indicador mora</t>
  </si>
  <si>
    <t>Indicador mora + castigo</t>
  </si>
  <si>
    <t>Indicador riesgo</t>
  </si>
  <si>
    <t>Comercial</t>
  </si>
  <si>
    <t>Consumo</t>
  </si>
  <si>
    <t>Microcrédito</t>
  </si>
  <si>
    <t>Vivienda</t>
  </si>
  <si>
    <t>Suma de Saldo Bruto</t>
  </si>
  <si>
    <t>Total general</t>
  </si>
  <si>
    <t>Suma de Indicador mora</t>
  </si>
  <si>
    <t>(Todas)</t>
  </si>
  <si>
    <t>Promedio de Indicador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</si>
</sst>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\$#,##0;\(\$#,##0\);\$#,##0"/>
    <numFmt numFmtId="166" formatCode="0.00\ %;\-0.00\ %;0.00\ %"/>
    <numFmt numFmtId="167" formatCode="mmm\ \-\ yyyy"/>
    <numFmt numFmtId="168" formatCode="_-* #,##0_-;\-* #,##0_-;_-* &quot;-&quot;??_-;_-@"/>
    <numFmt numFmtId="169" formatCode="mmm\ yyyy"/>
  </numFmts>
  <fonts count="16">
    <font>
      <sz val="10"/>
      <color rgb="FF000000"/>
      <name val="Calibri"/>
      <scheme val="minor"/>
    </font>
    <font>
      <sz val="12"/>
      <color rgb="FF000000"/>
      <name val="Arial Narrow"/>
    </font>
    <font>
      <b/>
      <sz val="12"/>
      <color theme="0"/>
      <name val="Arial Narrow"/>
    </font>
    <font>
      <sz val="10"/>
      <name val="Calibri"/>
    </font>
    <font>
      <b/>
      <sz val="12"/>
      <color theme="1"/>
      <name val="Arial Narrow"/>
    </font>
    <font>
      <sz val="12"/>
      <color theme="1"/>
      <name val="Arial Narrow"/>
    </font>
    <font>
      <sz val="14"/>
      <color rgb="FF000000"/>
      <name val="Arial Narrow"/>
    </font>
    <font>
      <b/>
      <sz val="14"/>
      <color theme="0"/>
      <name val="Arial Narrow"/>
    </font>
    <font>
      <b/>
      <sz val="12"/>
      <color rgb="FFFFFFFF"/>
      <name val="Arial Narrow"/>
    </font>
    <font>
      <b/>
      <sz val="14"/>
      <color rgb="FFFFFFFF"/>
      <name val="Arial Narrow"/>
    </font>
    <font>
      <sz val="14"/>
      <color theme="1"/>
      <name val="Arial Narrow"/>
    </font>
    <font>
      <sz val="10"/>
      <color rgb="FF000000"/>
      <name val="Calibri"/>
    </font>
    <font>
      <b/>
      <sz val="12"/>
      <color rgb="FF000000"/>
      <name val="Arial Narrow"/>
    </font>
    <font>
      <sz val="14"/>
      <color rgb="FFFF0000"/>
      <name val="Arial Narrow"/>
    </font>
    <font>
      <b/>
      <sz val="10"/>
      <color rgb="FF000000"/>
      <name val="Calibri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1E4E79"/>
        <bgColor rgb="FF1E4E7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6">
    <xf numFmtId="0" fontId="0" fillId="0" borderId="0" xfId="0" applyFont="1" applyAlignment="1"/>
    <xf numFmtId="0" fontId="1" fillId="0" borderId="0" xfId="0" applyFont="1"/>
    <xf numFmtId="0" fontId="6" fillId="0" borderId="0" xfId="0" applyFont="1"/>
    <xf numFmtId="0" fontId="2" fillId="2" borderId="9" xfId="0" applyFont="1" applyFill="1" applyBorder="1" applyAlignment="1">
      <alignment wrapText="1"/>
    </xf>
    <xf numFmtId="167" fontId="8" fillId="2" borderId="9" xfId="0" applyNumberFormat="1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wrapText="1"/>
    </xf>
    <xf numFmtId="10" fontId="10" fillId="4" borderId="15" xfId="0" applyNumberFormat="1" applyFont="1" applyFill="1" applyBorder="1"/>
    <xf numFmtId="164" fontId="10" fillId="4" borderId="16" xfId="0" applyNumberFormat="1" applyFont="1" applyFill="1" applyBorder="1"/>
    <xf numFmtId="0" fontId="7" fillId="5" borderId="19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 wrapText="1"/>
    </xf>
    <xf numFmtId="9" fontId="5" fillId="3" borderId="20" xfId="0" applyNumberFormat="1" applyFont="1" applyFill="1" applyBorder="1"/>
    <xf numFmtId="0" fontId="7" fillId="6" borderId="19" xfId="0" applyFont="1" applyFill="1" applyBorder="1" applyAlignment="1">
      <alignment horizontal="center" wrapText="1"/>
    </xf>
    <xf numFmtId="0" fontId="7" fillId="6" borderId="20" xfId="0" applyFont="1" applyFill="1" applyBorder="1" applyAlignment="1">
      <alignment horizontal="center" wrapText="1"/>
    </xf>
    <xf numFmtId="9" fontId="5" fillId="3" borderId="21" xfId="0" applyNumberFormat="1" applyFont="1" applyFill="1" applyBorder="1"/>
    <xf numFmtId="0" fontId="7" fillId="7" borderId="19" xfId="0" applyFont="1" applyFill="1" applyBorder="1" applyAlignment="1">
      <alignment horizontal="center" wrapText="1"/>
    </xf>
    <xf numFmtId="0" fontId="7" fillId="7" borderId="20" xfId="0" applyFont="1" applyFill="1" applyBorder="1" applyAlignment="1">
      <alignment horizontal="center" wrapText="1"/>
    </xf>
    <xf numFmtId="10" fontId="10" fillId="4" borderId="16" xfId="0" applyNumberFormat="1" applyFont="1" applyFill="1" applyBorder="1"/>
    <xf numFmtId="0" fontId="4" fillId="3" borderId="22" xfId="0" applyFont="1" applyFill="1" applyBorder="1" applyAlignment="1">
      <alignment wrapText="1"/>
    </xf>
    <xf numFmtId="10" fontId="10" fillId="4" borderId="23" xfId="0" applyNumberFormat="1" applyFont="1" applyFill="1" applyBorder="1" applyAlignment="1"/>
    <xf numFmtId="10" fontId="5" fillId="3" borderId="24" xfId="0" applyNumberFormat="1" applyFont="1" applyFill="1" applyBorder="1"/>
    <xf numFmtId="3" fontId="10" fillId="4" borderId="25" xfId="0" applyNumberFormat="1" applyFont="1" applyFill="1" applyBorder="1"/>
    <xf numFmtId="0" fontId="11" fillId="0" borderId="26" xfId="0" applyFont="1" applyBorder="1"/>
    <xf numFmtId="168" fontId="6" fillId="0" borderId="12" xfId="0" applyNumberFormat="1" applyFont="1" applyBorder="1"/>
    <xf numFmtId="10" fontId="5" fillId="0" borderId="27" xfId="0" applyNumberFormat="1" applyFont="1" applyBorder="1"/>
    <xf numFmtId="164" fontId="5" fillId="0" borderId="27" xfId="0" applyNumberFormat="1" applyFont="1" applyBorder="1"/>
    <xf numFmtId="3" fontId="13" fillId="4" borderId="25" xfId="0" applyNumberFormat="1" applyFont="1" applyFill="1" applyBorder="1"/>
    <xf numFmtId="168" fontId="13" fillId="0" borderId="12" xfId="0" applyNumberFormat="1" applyFont="1" applyBorder="1"/>
    <xf numFmtId="10" fontId="10" fillId="4" borderId="28" xfId="0" applyNumberFormat="1" applyFont="1" applyFill="1" applyBorder="1"/>
    <xf numFmtId="164" fontId="10" fillId="4" borderId="29" xfId="0" applyNumberFormat="1" applyFont="1" applyFill="1" applyBorder="1"/>
    <xf numFmtId="10" fontId="10" fillId="4" borderId="29" xfId="0" applyNumberFormat="1" applyFont="1" applyFill="1" applyBorder="1"/>
    <xf numFmtId="10" fontId="10" fillId="4" borderId="30" xfId="0" applyNumberFormat="1" applyFont="1" applyFill="1" applyBorder="1"/>
    <xf numFmtId="0" fontId="5" fillId="3" borderId="31" xfId="0" applyFont="1" applyFill="1" applyBorder="1"/>
    <xf numFmtId="10" fontId="10" fillId="4" borderId="30" xfId="0" applyNumberFormat="1" applyFont="1" applyFill="1" applyBorder="1" applyAlignment="1"/>
    <xf numFmtId="0" fontId="1" fillId="0" borderId="32" xfId="0" applyFont="1" applyBorder="1"/>
    <xf numFmtId="10" fontId="11" fillId="0" borderId="0" xfId="0" applyNumberFormat="1" applyFont="1"/>
    <xf numFmtId="164" fontId="10" fillId="4" borderId="25" xfId="0" applyNumberFormat="1" applyFont="1" applyFill="1" applyBorder="1"/>
    <xf numFmtId="164" fontId="11" fillId="0" borderId="0" xfId="0" applyNumberFormat="1" applyFont="1"/>
    <xf numFmtId="169" fontId="9" fillId="2" borderId="35" xfId="0" applyNumberFormat="1" applyFont="1" applyFill="1" applyBorder="1" applyAlignment="1">
      <alignment wrapText="1"/>
    </xf>
    <xf numFmtId="9" fontId="10" fillId="4" borderId="15" xfId="0" applyNumberFormat="1" applyFont="1" applyFill="1" applyBorder="1"/>
    <xf numFmtId="9" fontId="10" fillId="4" borderId="36" xfId="0" applyNumberFormat="1" applyFont="1" applyFill="1" applyBorder="1"/>
    <xf numFmtId="10" fontId="5" fillId="3" borderId="28" xfId="0" applyNumberFormat="1" applyFont="1" applyFill="1" applyBorder="1"/>
    <xf numFmtId="10" fontId="5" fillId="3" borderId="37" xfId="0" applyNumberFormat="1" applyFont="1" applyFill="1" applyBorder="1"/>
    <xf numFmtId="0" fontId="11" fillId="0" borderId="32" xfId="0" applyFont="1" applyBorder="1"/>
    <xf numFmtId="9" fontId="5" fillId="4" borderId="28" xfId="0" applyNumberFormat="1" applyFont="1" applyFill="1" applyBorder="1"/>
    <xf numFmtId="10" fontId="5" fillId="4" borderId="38" xfId="0" applyNumberFormat="1" applyFont="1" applyFill="1" applyBorder="1"/>
    <xf numFmtId="0" fontId="11" fillId="0" borderId="34" xfId="0" applyFont="1" applyBorder="1"/>
    <xf numFmtId="0" fontId="7" fillId="2" borderId="39" xfId="0" applyFont="1" applyFill="1" applyBorder="1" applyAlignment="1">
      <alignment horizontal="center" wrapText="1"/>
    </xf>
    <xf numFmtId="164" fontId="10" fillId="4" borderId="15" xfId="0" applyNumberFormat="1" applyFont="1" applyFill="1" applyBorder="1"/>
    <xf numFmtId="9" fontId="5" fillId="3" borderId="40" xfId="0" applyNumberFormat="1" applyFont="1" applyFill="1" applyBorder="1"/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1" fontId="11" fillId="0" borderId="9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1" fontId="11" fillId="0" borderId="9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0" fillId="0" borderId="41" xfId="0" pivotButton="1" applyFont="1" applyBorder="1" applyAlignment="1"/>
    <xf numFmtId="0" fontId="0" fillId="0" borderId="42" xfId="0" applyFont="1" applyBorder="1" applyAlignment="1"/>
    <xf numFmtId="0" fontId="0" fillId="0" borderId="43" xfId="0" applyFont="1" applyBorder="1" applyAlignment="1"/>
    <xf numFmtId="1" fontId="0" fillId="0" borderId="41" xfId="0" applyNumberFormat="1" applyFont="1" applyBorder="1" applyAlignment="1"/>
    <xf numFmtId="1" fontId="0" fillId="0" borderId="44" xfId="0" applyNumberFormat="1" applyFont="1" applyBorder="1" applyAlignment="1"/>
    <xf numFmtId="1" fontId="0" fillId="0" borderId="45" xfId="0" applyNumberFormat="1" applyFont="1" applyBorder="1" applyAlignment="1"/>
    <xf numFmtId="0" fontId="0" fillId="0" borderId="41" xfId="0" applyFont="1" applyBorder="1" applyAlignment="1"/>
    <xf numFmtId="10" fontId="0" fillId="0" borderId="41" xfId="0" applyNumberFormat="1" applyFont="1" applyBorder="1" applyAlignment="1"/>
    <xf numFmtId="10" fontId="0" fillId="0" borderId="44" xfId="0" applyNumberFormat="1" applyFont="1" applyBorder="1" applyAlignment="1"/>
    <xf numFmtId="10" fontId="0" fillId="0" borderId="45" xfId="0" applyNumberFormat="1" applyFont="1" applyBorder="1" applyAlignment="1"/>
    <xf numFmtId="0" fontId="0" fillId="0" borderId="46" xfId="0" applyFont="1" applyBorder="1" applyAlignment="1"/>
    <xf numFmtId="10" fontId="0" fillId="0" borderId="46" xfId="0" applyNumberFormat="1" applyFont="1" applyBorder="1" applyAlignment="1"/>
    <xf numFmtId="10" fontId="0" fillId="0" borderId="35" xfId="0" applyNumberFormat="1" applyFont="1" applyBorder="1" applyAlignment="1"/>
    <xf numFmtId="10" fontId="0" fillId="0" borderId="47" xfId="0" applyNumberFormat="1" applyFont="1" applyBorder="1" applyAlignment="1"/>
    <xf numFmtId="0" fontId="0" fillId="0" borderId="48" xfId="0" applyFont="1" applyBorder="1" applyAlignment="1"/>
    <xf numFmtId="10" fontId="0" fillId="0" borderId="48" xfId="0" applyNumberFormat="1" applyFont="1" applyBorder="1" applyAlignment="1"/>
    <xf numFmtId="10" fontId="0" fillId="0" borderId="49" xfId="0" applyNumberFormat="1" applyFont="1" applyBorder="1" applyAlignment="1"/>
    <xf numFmtId="10" fontId="0" fillId="0" borderId="50" xfId="0" applyNumberFormat="1" applyFont="1" applyBorder="1" applyAlignment="1"/>
    <xf numFmtId="0" fontId="0" fillId="0" borderId="50" xfId="0" pivotButton="1" applyFont="1" applyBorder="1" applyAlignment="1"/>
    <xf numFmtId="0" fontId="0" fillId="0" borderId="50" xfId="0" applyFont="1" applyBorder="1" applyAlignment="1"/>
    <xf numFmtId="0" fontId="0" fillId="0" borderId="41" xfId="0" applyNumberFormat="1" applyFont="1" applyBorder="1" applyAlignment="1"/>
    <xf numFmtId="0" fontId="0" fillId="0" borderId="44" xfId="0" applyNumberFormat="1" applyFont="1" applyBorder="1" applyAlignment="1"/>
    <xf numFmtId="0" fontId="0" fillId="0" borderId="45" xfId="0" applyNumberFormat="1" applyFont="1" applyBorder="1" applyAlignment="1"/>
    <xf numFmtId="0" fontId="0" fillId="0" borderId="46" xfId="0" applyNumberFormat="1" applyFont="1" applyBorder="1" applyAlignment="1"/>
    <xf numFmtId="0" fontId="0" fillId="0" borderId="35" xfId="0" applyNumberFormat="1" applyFont="1" applyBorder="1" applyAlignment="1"/>
    <xf numFmtId="0" fontId="0" fillId="0" borderId="47" xfId="0" applyNumberFormat="1" applyFont="1" applyBorder="1" applyAlignment="1"/>
    <xf numFmtId="0" fontId="0" fillId="0" borderId="48" xfId="0" applyNumberFormat="1" applyFont="1" applyBorder="1" applyAlignment="1"/>
    <xf numFmtId="0" fontId="0" fillId="0" borderId="49" xfId="0" applyNumberFormat="1" applyFont="1" applyBorder="1" applyAlignment="1"/>
    <xf numFmtId="0" fontId="0" fillId="0" borderId="50" xfId="0" applyNumberFormat="1" applyFont="1" applyBorder="1" applyAlignment="1"/>
    <xf numFmtId="10" fontId="10" fillId="4" borderId="16" xfId="0" applyNumberFormat="1" applyFont="1" applyFill="1" applyBorder="1" applyAlignment="1"/>
    <xf numFmtId="10" fontId="10" fillId="4" borderId="29" xfId="0" applyNumberFormat="1" applyFont="1" applyFill="1" applyBorder="1" applyAlignment="1"/>
    <xf numFmtId="168" fontId="6" fillId="0" borderId="17" xfId="0" applyNumberFormat="1" applyFont="1" applyBorder="1"/>
    <xf numFmtId="0" fontId="7" fillId="2" borderId="14" xfId="0" applyFont="1" applyFill="1" applyBorder="1" applyAlignment="1">
      <alignment wrapText="1"/>
    </xf>
    <xf numFmtId="164" fontId="10" fillId="4" borderId="17" xfId="0" applyNumberFormat="1" applyFont="1" applyFill="1" applyBorder="1"/>
    <xf numFmtId="17" fontId="7" fillId="5" borderId="20" xfId="0" applyNumberFormat="1" applyFont="1" applyFill="1" applyBorder="1" applyAlignment="1">
      <alignment horizontal="center" wrapText="1"/>
    </xf>
    <xf numFmtId="0" fontId="3" fillId="0" borderId="20" xfId="0" applyFont="1" applyBorder="1"/>
    <xf numFmtId="164" fontId="6" fillId="0" borderId="17" xfId="0" applyNumberFormat="1" applyFont="1" applyBorder="1"/>
    <xf numFmtId="17" fontId="7" fillId="6" borderId="20" xfId="0" applyNumberFormat="1" applyFont="1" applyFill="1" applyBorder="1" applyAlignment="1">
      <alignment horizontal="center" wrapText="1"/>
    </xf>
    <xf numFmtId="17" fontId="7" fillId="2" borderId="14" xfId="0" applyNumberFormat="1" applyFont="1" applyFill="1" applyBorder="1" applyAlignment="1">
      <alignment wrapText="1"/>
    </xf>
    <xf numFmtId="0" fontId="15" fillId="0" borderId="51" xfId="0" applyFont="1" applyBorder="1" applyAlignment="1">
      <alignment readingOrder="1"/>
    </xf>
    <xf numFmtId="0" fontId="15" fillId="0" borderId="52" xfId="0" applyFont="1" applyBorder="1" applyAlignment="1">
      <alignment readingOrder="1"/>
    </xf>
    <xf numFmtId="0" fontId="15" fillId="0" borderId="53" xfId="0" applyFont="1" applyBorder="1" applyAlignment="1">
      <alignment readingOrder="1"/>
    </xf>
    <xf numFmtId="0" fontId="7" fillId="7" borderId="14" xfId="0" applyFont="1" applyFill="1" applyBorder="1" applyAlignment="1">
      <alignment vertical="center" wrapText="1"/>
    </xf>
    <xf numFmtId="0" fontId="6" fillId="0" borderId="25" xfId="0" applyFont="1" applyBorder="1"/>
    <xf numFmtId="0" fontId="6" fillId="0" borderId="17" xfId="0" applyFont="1" applyBorder="1"/>
    <xf numFmtId="3" fontId="10" fillId="4" borderId="17" xfId="0" applyNumberFormat="1" applyFont="1" applyFill="1" applyBorder="1"/>
    <xf numFmtId="3" fontId="13" fillId="4" borderId="17" xfId="0" applyNumberFormat="1" applyFont="1" applyFill="1" applyBorder="1"/>
    <xf numFmtId="168" fontId="13" fillId="0" borderId="17" xfId="0" applyNumberFormat="1" applyFont="1" applyBorder="1"/>
    <xf numFmtId="0" fontId="2" fillId="2" borderId="4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wrapText="1"/>
    </xf>
    <xf numFmtId="167" fontId="8" fillId="2" borderId="35" xfId="0" applyNumberFormat="1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wrapText="1"/>
    </xf>
    <xf numFmtId="0" fontId="8" fillId="2" borderId="18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167" fontId="8" fillId="2" borderId="14" xfId="0" applyNumberFormat="1" applyFont="1" applyFill="1" applyBorder="1" applyAlignment="1">
      <alignment wrapText="1"/>
    </xf>
    <xf numFmtId="167" fontId="8" fillId="2" borderId="27" xfId="0" applyNumberFormat="1" applyFont="1" applyFill="1" applyBorder="1" applyAlignment="1">
      <alignment wrapText="1"/>
    </xf>
    <xf numFmtId="0" fontId="8" fillId="2" borderId="14" xfId="0" applyFont="1" applyFill="1" applyBorder="1" applyAlignment="1">
      <alignment wrapText="1"/>
    </xf>
    <xf numFmtId="0" fontId="1" fillId="0" borderId="15" xfId="0" applyFont="1" applyBorder="1"/>
    <xf numFmtId="10" fontId="5" fillId="0" borderId="15" xfId="0" applyNumberFormat="1" applyFont="1" applyBorder="1"/>
    <xf numFmtId="10" fontId="5" fillId="0" borderId="17" xfId="0" applyNumberFormat="1" applyFont="1" applyBorder="1"/>
    <xf numFmtId="164" fontId="5" fillId="0" borderId="17" xfId="0" applyNumberFormat="1" applyFont="1" applyBorder="1"/>
    <xf numFmtId="164" fontId="5" fillId="0" borderId="17" xfId="0" applyNumberFormat="1" applyFont="1" applyBorder="1" applyAlignment="1"/>
    <xf numFmtId="164" fontId="5" fillId="8" borderId="17" xfId="0" applyNumberFormat="1" applyFont="1" applyFill="1" applyBorder="1"/>
    <xf numFmtId="10" fontId="5" fillId="3" borderId="23" xfId="0" applyNumberFormat="1" applyFont="1" applyFill="1" applyBorder="1"/>
    <xf numFmtId="10" fontId="5" fillId="9" borderId="17" xfId="0" applyNumberFormat="1" applyFont="1" applyFill="1" applyBorder="1"/>
    <xf numFmtId="10" fontId="5" fillId="0" borderId="17" xfId="0" applyNumberFormat="1" applyFont="1" applyBorder="1" applyAlignment="1"/>
    <xf numFmtId="10" fontId="5" fillId="3" borderId="38" xfId="0" applyNumberFormat="1" applyFont="1" applyFill="1" applyBorder="1"/>
    <xf numFmtId="10" fontId="5" fillId="0" borderId="28" xfId="0" applyNumberFormat="1" applyFont="1" applyBorder="1"/>
    <xf numFmtId="164" fontId="5" fillId="3" borderId="38" xfId="0" applyNumberFormat="1" applyFont="1" applyFill="1" applyBorder="1"/>
    <xf numFmtId="0" fontId="2" fillId="2" borderId="35" xfId="0" applyFont="1" applyFill="1" applyBorder="1" applyAlignment="1">
      <alignment wrapText="1"/>
    </xf>
    <xf numFmtId="0" fontId="2" fillId="2" borderId="27" xfId="0" applyFont="1" applyFill="1" applyBorder="1" applyAlignment="1">
      <alignment wrapText="1"/>
    </xf>
    <xf numFmtId="3" fontId="5" fillId="4" borderId="17" xfId="0" applyNumberFormat="1" applyFont="1" applyFill="1" applyBorder="1"/>
    <xf numFmtId="3" fontId="5" fillId="4" borderId="27" xfId="0" applyNumberFormat="1" applyFont="1" applyFill="1" applyBorder="1"/>
    <xf numFmtId="9" fontId="5" fillId="4" borderId="17" xfId="0" applyNumberFormat="1" applyFont="1" applyFill="1" applyBorder="1"/>
    <xf numFmtId="9" fontId="5" fillId="3" borderId="17" xfId="0" applyNumberFormat="1" applyFont="1" applyFill="1" applyBorder="1"/>
    <xf numFmtId="9" fontId="5" fillId="3" borderId="23" xfId="0" applyNumberFormat="1" applyFont="1" applyFill="1" applyBorder="1"/>
    <xf numFmtId="0" fontId="1" fillId="0" borderId="28" xfId="0" applyFont="1" applyBorder="1"/>
    <xf numFmtId="3" fontId="5" fillId="4" borderId="38" xfId="0" applyNumberFormat="1" applyFont="1" applyFill="1" applyBorder="1"/>
    <xf numFmtId="9" fontId="5" fillId="4" borderId="38" xfId="0" applyNumberFormat="1" applyFont="1" applyFill="1" applyBorder="1"/>
    <xf numFmtId="1" fontId="5" fillId="3" borderId="38" xfId="0" applyNumberFormat="1" applyFont="1" applyFill="1" applyBorder="1"/>
    <xf numFmtId="0" fontId="7" fillId="2" borderId="2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67" fontId="9" fillId="2" borderId="11" xfId="0" applyNumberFormat="1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167" fontId="9" fillId="2" borderId="35" xfId="0" applyNumberFormat="1" applyFont="1" applyFill="1" applyBorder="1" applyAlignment="1">
      <alignment horizontal="center" vertical="center" wrapText="1"/>
    </xf>
    <xf numFmtId="0" fontId="6" fillId="0" borderId="15" xfId="0" applyFont="1" applyBorder="1"/>
    <xf numFmtId="10" fontId="10" fillId="4" borderId="17" xfId="0" applyNumberFormat="1" applyFont="1" applyFill="1" applyBorder="1"/>
    <xf numFmtId="10" fontId="10" fillId="4" borderId="23" xfId="0" applyNumberFormat="1" applyFont="1" applyFill="1" applyBorder="1"/>
    <xf numFmtId="10" fontId="10" fillId="4" borderId="17" xfId="0" applyNumberFormat="1" applyFont="1" applyFill="1" applyBorder="1" applyAlignment="1"/>
    <xf numFmtId="0" fontId="6" fillId="0" borderId="28" xfId="0" applyFont="1" applyBorder="1"/>
    <xf numFmtId="164" fontId="10" fillId="4" borderId="38" xfId="0" applyNumberFormat="1" applyFont="1" applyFill="1" applyBorder="1"/>
    <xf numFmtId="10" fontId="10" fillId="4" borderId="38" xfId="0" applyNumberFormat="1" applyFont="1" applyFill="1" applyBorder="1"/>
    <xf numFmtId="10" fontId="10" fillId="4" borderId="38" xfId="0" applyNumberFormat="1" applyFont="1" applyFill="1" applyBorder="1" applyAlignment="1"/>
    <xf numFmtId="10" fontId="5" fillId="3" borderId="35" xfId="0" applyNumberFormat="1" applyFont="1" applyFill="1" applyBorder="1"/>
    <xf numFmtId="0" fontId="7" fillId="2" borderId="26" xfId="0" applyFont="1" applyFill="1" applyBorder="1" applyAlignment="1">
      <alignment wrapText="1"/>
    </xf>
    <xf numFmtId="0" fontId="7" fillId="2" borderId="35" xfId="0" applyFont="1" applyFill="1" applyBorder="1" applyAlignment="1">
      <alignment wrapText="1"/>
    </xf>
    <xf numFmtId="167" fontId="9" fillId="2" borderId="35" xfId="0" applyNumberFormat="1" applyFont="1" applyFill="1" applyBorder="1" applyAlignment="1">
      <alignment wrapText="1"/>
    </xf>
    <xf numFmtId="167" fontId="9" fillId="2" borderId="11" xfId="0" applyNumberFormat="1" applyFont="1" applyFill="1" applyBorder="1" applyAlignment="1">
      <alignment wrapText="1"/>
    </xf>
    <xf numFmtId="0" fontId="7" fillId="2" borderId="27" xfId="0" applyFont="1" applyFill="1" applyBorder="1" applyAlignment="1">
      <alignment wrapText="1"/>
    </xf>
    <xf numFmtId="169" fontId="9" fillId="2" borderId="11" xfId="0" applyNumberFormat="1" applyFont="1" applyFill="1" applyBorder="1" applyAlignment="1">
      <alignment wrapText="1"/>
    </xf>
    <xf numFmtId="9" fontId="10" fillId="4" borderId="27" xfId="0" applyNumberFormat="1" applyFont="1" applyFill="1" applyBorder="1"/>
    <xf numFmtId="9" fontId="10" fillId="4" borderId="27" xfId="0" applyNumberFormat="1" applyFont="1" applyFill="1" applyBorder="1" applyAlignment="1"/>
    <xf numFmtId="9" fontId="10" fillId="4" borderId="17" xfId="0" applyNumberFormat="1" applyFont="1" applyFill="1" applyBorder="1"/>
    <xf numFmtId="9" fontId="5" fillId="0" borderId="28" xfId="0" applyNumberFormat="1" applyFont="1" applyBorder="1"/>
    <xf numFmtId="0" fontId="11" fillId="0" borderId="37" xfId="0" applyFont="1" applyBorder="1"/>
    <xf numFmtId="0" fontId="7" fillId="2" borderId="11" xfId="0" applyFont="1" applyFill="1" applyBorder="1" applyAlignment="1">
      <alignment wrapText="1"/>
    </xf>
    <xf numFmtId="164" fontId="10" fillId="4" borderId="23" xfId="0" applyNumberFormat="1" applyFont="1" applyFill="1" applyBorder="1"/>
    <xf numFmtId="164" fontId="10" fillId="4" borderId="23" xfId="0" applyNumberFormat="1" applyFont="1" applyFill="1" applyBorder="1" applyAlignment="1"/>
    <xf numFmtId="164" fontId="5" fillId="3" borderId="17" xfId="0" applyNumberFormat="1" applyFont="1" applyFill="1" applyBorder="1"/>
    <xf numFmtId="0" fontId="7" fillId="2" borderId="35" xfId="0" applyFont="1" applyFill="1" applyBorder="1" applyAlignment="1">
      <alignment horizontal="center"/>
    </xf>
    <xf numFmtId="0" fontId="7" fillId="2" borderId="3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7" fillId="2" borderId="3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33" xfId="0" applyFont="1" applyBorder="1" applyAlignment="1"/>
    <xf numFmtId="0" fontId="3" fillId="0" borderId="34" xfId="0" applyFont="1" applyBorder="1" applyAlignment="1"/>
    <xf numFmtId="0" fontId="7" fillId="2" borderId="20" xfId="0" applyFont="1" applyFill="1" applyBorder="1" applyAlignment="1">
      <alignment horizontal="center" wrapText="1"/>
    </xf>
    <xf numFmtId="0" fontId="3" fillId="0" borderId="27" xfId="0" applyFont="1" applyBorder="1" applyAlignment="1"/>
    <xf numFmtId="0" fontId="7" fillId="6" borderId="19" xfId="0" applyFont="1" applyFill="1" applyBorder="1" applyAlignment="1">
      <alignment horizontal="center" vertical="center" wrapText="1"/>
    </xf>
    <xf numFmtId="0" fontId="3" fillId="0" borderId="20" xfId="0" applyFont="1" applyBorder="1" applyAlignment="1"/>
    <xf numFmtId="0" fontId="3" fillId="0" borderId="14" xfId="0" applyFont="1" applyBorder="1" applyAlignment="1"/>
    <xf numFmtId="0" fontId="7" fillId="7" borderId="25" xfId="0" applyFont="1" applyFill="1" applyBorder="1" applyAlignment="1">
      <alignment horizontal="center" vertical="center" wrapText="1"/>
    </xf>
    <xf numFmtId="0" fontId="3" fillId="0" borderId="17" xfId="0" applyFont="1" applyBorder="1" applyAlignment="1"/>
    <xf numFmtId="0" fontId="7" fillId="2" borderId="35" xfId="0" applyFont="1" applyFill="1" applyBorder="1" applyAlignment="1">
      <alignment horizontal="center"/>
    </xf>
    <xf numFmtId="0" fontId="3" fillId="0" borderId="35" xfId="0" applyFont="1" applyBorder="1" applyAlignment="1"/>
    <xf numFmtId="0" fontId="7" fillId="2" borderId="35" xfId="0" applyFont="1" applyFill="1" applyBorder="1" applyAlignment="1">
      <alignment horizontal="right"/>
    </xf>
    <xf numFmtId="0" fontId="7" fillId="2" borderId="19" xfId="0" applyFont="1" applyFill="1" applyBorder="1" applyAlignment="1">
      <alignment horizontal="center" wrapText="1"/>
    </xf>
    <xf numFmtId="0" fontId="3" fillId="0" borderId="18" xfId="0" applyFont="1" applyBorder="1" applyAlignment="1"/>
    <xf numFmtId="0" fontId="7" fillId="5" borderId="25" xfId="0" applyFont="1" applyFill="1" applyBorder="1" applyAlignment="1">
      <alignment horizontal="center" vertical="center" wrapText="1"/>
    </xf>
    <xf numFmtId="0" fontId="3" fillId="0" borderId="12" xfId="0" applyFont="1" applyBorder="1" applyAlignment="1"/>
    <xf numFmtId="0" fontId="7" fillId="7" borderId="19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wrapText="1"/>
    </xf>
    <xf numFmtId="0" fontId="3" fillId="0" borderId="13" xfId="0" applyFont="1" applyBorder="1" applyAlignment="1"/>
    <xf numFmtId="0" fontId="1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/>
    <xf numFmtId="0" fontId="2" fillId="2" borderId="1" xfId="0" applyFont="1" applyFill="1" applyBorder="1" applyAlignment="1">
      <alignment horizontal="center" wrapText="1"/>
    </xf>
    <xf numFmtId="0" fontId="3" fillId="0" borderId="4" xfId="0" applyFont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wrapText="1"/>
    </xf>
    <xf numFmtId="0" fontId="3" fillId="0" borderId="11" xfId="0" applyFont="1" applyBorder="1" applyAlignment="1"/>
    <xf numFmtId="0" fontId="12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3" borderId="2" xfId="0" applyFont="1" applyFill="1" applyBorder="1" applyAlignment="1">
      <alignment horizontal="center" wrapText="1"/>
    </xf>
    <xf numFmtId="0" fontId="3" fillId="0" borderId="36" xfId="0" applyFont="1" applyBorder="1" applyAlignment="1"/>
    <xf numFmtId="0" fontId="3" fillId="0" borderId="39" xfId="0" applyFont="1" applyBorder="1" applyAlignment="1"/>
    <xf numFmtId="0" fontId="7" fillId="2" borderId="35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/>
    <xf numFmtId="0" fontId="3" fillId="0" borderId="8" xfId="0" applyFont="1" applyBorder="1" applyAlignment="1"/>
    <xf numFmtId="0" fontId="4" fillId="3" borderId="3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Bancolombia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Bancos!$AN$7:$AP$7</c:f>
              <c:numCache>
                <c:formatCode>_-* #,##0_-;\-* #,##0_-;_-* "-"??_-;_-@</c:formatCode>
                <c:ptCount val="3"/>
                <c:pt idx="0" formatCode="#,##0">
                  <c:v>6932965.1600000001</c:v>
                </c:pt>
                <c:pt idx="1">
                  <c:v>5979730.2946210001</c:v>
                </c:pt>
                <c:pt idx="2">
                  <c:v>5578220.1324730003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B-41A8-B895-B8F7B064E74F}"/>
            </c:ext>
          </c:extLst>
        </c:ser>
        <c:ser>
          <c:idx val="1"/>
          <c:order val="1"/>
          <c:tx>
            <c:v>Banco de Bogotá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Bancos!$AN$8:$AP$8</c:f>
              <c:numCache>
                <c:formatCode>_-* #,##0_-;\-* #,##0_-;_-* "-"??_-;_-@</c:formatCode>
                <c:ptCount val="3"/>
                <c:pt idx="0" formatCode="#,##0">
                  <c:v>2251716.38</c:v>
                </c:pt>
                <c:pt idx="1">
                  <c:v>1024883.921583</c:v>
                </c:pt>
                <c:pt idx="2">
                  <c:v>1128549.4205380001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B-41A8-B895-B8F7B064E74F}"/>
            </c:ext>
          </c:extLst>
        </c:ser>
        <c:ser>
          <c:idx val="2"/>
          <c:order val="2"/>
          <c:tx>
            <c:v>Banco Davivienda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Bancos!$AN$9:$AP$9</c:f>
              <c:numCache>
                <c:formatCode>_-* #,##0_-;\-* #,##0_-;_-* "-"??_-;_-@</c:formatCode>
                <c:ptCount val="3"/>
                <c:pt idx="0" formatCode="#,##0">
                  <c:v>1140432.1499999999</c:v>
                </c:pt>
                <c:pt idx="1">
                  <c:v>105939.481713</c:v>
                </c:pt>
                <c:pt idx="2">
                  <c:v>852724.95471800002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B-41A8-B895-B8F7B064E74F}"/>
            </c:ext>
          </c:extLst>
        </c:ser>
        <c:ser>
          <c:idx val="3"/>
          <c:order val="3"/>
          <c:tx>
            <c:v>Banco de Occidente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Bancos!$AN$10:$AP$10</c:f>
              <c:numCache>
                <c:formatCode>_-* #,##0_-;\-* #,##0_-;_-* "-"??_-;_-@</c:formatCode>
                <c:ptCount val="3"/>
                <c:pt idx="0" formatCode="#,##0">
                  <c:v>502643.22</c:v>
                </c:pt>
                <c:pt idx="1">
                  <c:v>430603.22717799997</c:v>
                </c:pt>
                <c:pt idx="2">
                  <c:v>494992.147872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8B-41A8-B895-B8F7B064E74F}"/>
            </c:ext>
          </c:extLst>
        </c:ser>
        <c:ser>
          <c:idx val="4"/>
          <c:order val="4"/>
          <c:tx>
            <c:v>BBVA Colombia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Bancos!$AN$11:$AP$11</c:f>
              <c:numCache>
                <c:formatCode>_-* #,##0_-;\-* #,##0_-;_-* "-"??_-;_-@</c:formatCode>
                <c:ptCount val="3"/>
                <c:pt idx="0" formatCode="#,##0">
                  <c:v>933513.69</c:v>
                </c:pt>
                <c:pt idx="1">
                  <c:v>194687.90111199999</c:v>
                </c:pt>
                <c:pt idx="2">
                  <c:v>-368949.20047699998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8B-41A8-B895-B8F7B064E74F}"/>
            </c:ext>
          </c:extLst>
        </c:ser>
        <c:ser>
          <c:idx val="5"/>
          <c:order val="5"/>
          <c:tx>
            <c:v>Banco Popular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Bancos!$AN$6:$AP$6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Bancos!$AN$12:$AP$12</c:f>
              <c:numCache>
                <c:formatCode>_-* #,##0_-;\-* #,##0_-;_-* "-"??_-;_-@</c:formatCode>
                <c:ptCount val="3"/>
                <c:pt idx="0" formatCode="#,##0">
                  <c:v>73035.39</c:v>
                </c:pt>
                <c:pt idx="1">
                  <c:v>-347408.52669999999</c:v>
                </c:pt>
                <c:pt idx="2">
                  <c:v>-226699.17135399999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8B-41A8-B895-B8F7B064E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197275"/>
        <c:axId val="1968973972"/>
      </c:lineChart>
      <c:catAx>
        <c:axId val="1435197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968973972"/>
        <c:crosses val="autoZero"/>
        <c:auto val="1"/>
        <c:lblAlgn val="ctr"/>
        <c:lblOffset val="100"/>
        <c:noMultiLvlLbl val="1"/>
      </c:catAx>
      <c:valAx>
        <c:axId val="19689739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435197275"/>
        <c:crosses val="autoZero"/>
        <c:crossBetween val="between"/>
      </c:valAx>
      <c:spPr>
        <a:solidFill>
          <a:schemeClr val="lt1"/>
        </a:solidFill>
      </c:spPr>
    </c:plotArea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1.8756333706020884E-2"/>
          <c:y val="5.3931255352675858E-2"/>
          <c:w val="0.9381792410399924"/>
          <c:h val="0.76346867469439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Bancos!K17</c:f>
              <c:strCache>
                <c:ptCount val="1"/>
                <c:pt idx="0">
                  <c:v>jun-25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dLbl>
              <c:idx val="4"/>
              <c:layout>
                <c:manualLayout>
                  <c:x val="-1.4342593006878833E-2"/>
                  <c:y val="4.5149482399830702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31C-4E65-B4B9-7D2D7EDDA2EC}"/>
                </c:ext>
              </c:extLst>
            </c:dLbl>
            <c:dLbl>
              <c:idx val="5"/>
              <c:layout>
                <c:manualLayout>
                  <c:x val="-1.7729071506941082E-2"/>
                  <c:y val="9.0292075955840856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31C-4E65-B4B9-7D2D7EDDA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Bancos!$E$18:$E$23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Bancos!K18:K23</c:f>
              <c:numCache>
                <c:formatCode>0.0%</c:formatCode>
                <c:ptCount val="6"/>
                <c:pt idx="0">
                  <c:v>0.91050159021834098</c:v>
                </c:pt>
                <c:pt idx="1">
                  <c:v>0.89833119497316349</c:v>
                </c:pt>
                <c:pt idx="2">
                  <c:v>0.87577601200991828</c:v>
                </c:pt>
                <c:pt idx="3">
                  <c:v>0.92482617823956703</c:v>
                </c:pt>
                <c:pt idx="4">
                  <c:v>0.9351198802584032</c:v>
                </c:pt>
                <c:pt idx="5">
                  <c:v>0.92489700927235408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1C-4E65-B4B9-7D2D7EDDA2EC}"/>
            </c:ext>
          </c:extLst>
        </c:ser>
        <c:ser>
          <c:idx val="1"/>
          <c:order val="1"/>
          <c:tx>
            <c:strRef>
              <c:f>Bancos!L17</c:f>
              <c:strCache>
                <c:ptCount val="1"/>
                <c:pt idx="0">
                  <c:v>dic-25</c:v>
                </c:pt>
              </c:strCache>
            </c:strRef>
          </c:tx>
          <c:spPr>
            <a:solidFill>
              <a:srgbClr val="0070C0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31C-4E65-B4B9-7D2D7EDDA2EC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331C-4E65-B4B9-7D2D7EDDA2EC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331C-4E65-B4B9-7D2D7EDDA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Bancos!$E$18:$E$23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Bancos!$L$18:$L$23</c:f>
              <c:numCache>
                <c:formatCode>0.0%</c:formatCode>
                <c:ptCount val="6"/>
                <c:pt idx="0">
                  <c:v>0.90309227994377694</c:v>
                </c:pt>
                <c:pt idx="1">
                  <c:v>0.90210956244938811</c:v>
                </c:pt>
                <c:pt idx="2">
                  <c:v>0.87829365700816586</c:v>
                </c:pt>
                <c:pt idx="3">
                  <c:v>0.93068992550159746</c:v>
                </c:pt>
                <c:pt idx="4">
                  <c:v>0.93556018087913739</c:v>
                </c:pt>
                <c:pt idx="5">
                  <c:v>0.92135426608327275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31C-4E65-B4B9-7D2D7EDDA2EC}"/>
            </c:ext>
          </c:extLst>
        </c:ser>
        <c:ser>
          <c:idx val="3"/>
          <c:order val="2"/>
          <c:tx>
            <c:strRef>
              <c:f>Bancos!M17</c:f>
              <c:strCache>
                <c:ptCount val="1"/>
                <c:pt idx="0">
                  <c:v>jun-26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1.7131486261983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31C-4E65-B4B9-7D2D7EDDA2EC}"/>
                </c:ext>
              </c:extLst>
            </c:dLbl>
            <c:dLbl>
              <c:idx val="4"/>
              <c:layout>
                <c:manualLayout>
                  <c:x val="1.553788508077057E-2"/>
                  <c:y val="-2.70876227867522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31C-4E65-B4B9-7D2D7EDDA2EC}"/>
                </c:ext>
              </c:extLst>
            </c:dLbl>
            <c:dLbl>
              <c:idx val="5"/>
              <c:layout>
                <c:manualLayout>
                  <c:x val="1.1155451436441734E-2"/>
                  <c:y val="-1.580135440180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31C-4E65-B4B9-7D2D7EDDA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Bancos!$E$18:$E$23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Bancos!M18:M23</c:f>
              <c:numCache>
                <c:formatCode>0.0%</c:formatCode>
                <c:ptCount val="6"/>
                <c:pt idx="0">
                  <c:v>0.90770204425822898</c:v>
                </c:pt>
                <c:pt idx="1">
                  <c:v>0.90310549446636257</c:v>
                </c:pt>
                <c:pt idx="2">
                  <c:v>0.89899593743221928</c:v>
                </c:pt>
                <c:pt idx="3">
                  <c:v>0.93610869144645703</c:v>
                </c:pt>
                <c:pt idx="4">
                  <c:v>0.93817647051526454</c:v>
                </c:pt>
                <c:pt idx="5">
                  <c:v>0.92641219994496826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1C-4E65-B4B9-7D2D7EDD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0628993"/>
        <c:axId val="867352662"/>
      </c:barChart>
      <c:lineChart>
        <c:grouping val="standard"/>
        <c:varyColors val="0"/>
        <c:ser>
          <c:idx val="2"/>
          <c:order val="3"/>
          <c:tx>
            <c:strRef>
              <c:f>Bancos!N17</c:f>
              <c:strCache>
                <c:ptCount val="1"/>
                <c:pt idx="0">
                  <c:v>Promedio Jun - 2026</c:v>
                </c:pt>
              </c:strCache>
            </c:strRef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1C-4E65-B4B9-7D2D7EDDA2E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1C-4E65-B4B9-7D2D7EDDA2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1C-4E65-B4B9-7D2D7EDDA2E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1C-4E65-B4B9-7D2D7EDDA2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1C-4E65-B4B9-7D2D7EDDA2EC}"/>
                </c:ext>
              </c:extLst>
            </c:dLbl>
            <c:dLbl>
              <c:idx val="5"/>
              <c:layout>
                <c:manualLayout>
                  <c:x val="5.6175323121576193E-2"/>
                  <c:y val="-4.5142593556012919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31C-4E65-B4B9-7D2D7EDDA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Bancos!$E$18:$E$23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Bancos!N18:N23</c:f>
              <c:numCache>
                <c:formatCode>0.0%</c:formatCode>
                <c:ptCount val="6"/>
                <c:pt idx="0">
                  <c:v>0.91841680634391676</c:v>
                </c:pt>
                <c:pt idx="1">
                  <c:v>0.91841680634391676</c:v>
                </c:pt>
                <c:pt idx="2">
                  <c:v>0.91841680634391676</c:v>
                </c:pt>
                <c:pt idx="3">
                  <c:v>0.91841680634391676</c:v>
                </c:pt>
                <c:pt idx="4">
                  <c:v>0.91841680634391676</c:v>
                </c:pt>
                <c:pt idx="5">
                  <c:v>0.91841680634391676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1C-4E65-B4B9-7D2D7EDD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628993"/>
        <c:axId val="867352662"/>
      </c:lineChart>
      <c:catAx>
        <c:axId val="1520628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867352662"/>
        <c:crosses val="autoZero"/>
        <c:auto val="1"/>
        <c:lblAlgn val="ctr"/>
        <c:lblOffset val="100"/>
        <c:noMultiLvlLbl val="1"/>
      </c:catAx>
      <c:valAx>
        <c:axId val="86735266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52062899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2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ROA_ROE!F3</c:f>
              <c:strCache>
                <c:ptCount val="1"/>
                <c:pt idx="0">
                  <c:v>jun - 2025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ROA_ROE!$A$4,ROA_ROE!$A$5,ROA_ROE!$A$6,ROA_ROE!$A$7,ROA_ROE!$A$8,ROA_ROE!$A$4,ROA_ROE!$A$5,ROA_ROE!$A$6,ROA_ROE!$A$7,ROA_ROE!$A$8</c:f>
              <c:strCache>
                <c:ptCount val="10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Bancolombia</c:v>
                </c:pt>
                <c:pt idx="6">
                  <c:v>Banco Davivienda</c:v>
                </c:pt>
                <c:pt idx="7">
                  <c:v>Banco de Bogotá</c:v>
                </c:pt>
                <c:pt idx="8">
                  <c:v>Banco de Occidente</c:v>
                </c:pt>
                <c:pt idx="9">
                  <c:v>BBVA Colombia</c:v>
                </c:pt>
              </c:strCache>
            </c:strRef>
          </c:cat>
          <c:val>
            <c:numRef>
              <c:f>ROA_ROE!F4:F9</c:f>
              <c:numCache>
                <c:formatCode>0.0%</c:formatCode>
                <c:ptCount val="6"/>
                <c:pt idx="0">
                  <c:v>0.29959999999999998</c:v>
                </c:pt>
                <c:pt idx="1">
                  <c:v>9.69E-2</c:v>
                </c:pt>
                <c:pt idx="2">
                  <c:v>7.7600000000000002E-2</c:v>
                </c:pt>
                <c:pt idx="3" formatCode="0.00%">
                  <c:v>0.1115</c:v>
                </c:pt>
                <c:pt idx="4" formatCode="0.00%">
                  <c:v>4.1000000000000002E-2</c:v>
                </c:pt>
                <c:pt idx="5">
                  <c:v>6.4000000000000003E-3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05-4E95-B3ED-8E2C6C348742}"/>
            </c:ext>
          </c:extLst>
        </c:ser>
        <c:ser>
          <c:idx val="1"/>
          <c:order val="1"/>
          <c:tx>
            <c:strRef>
              <c:f>ROA_ROE!G3</c:f>
              <c:strCache>
                <c:ptCount val="1"/>
                <c:pt idx="0">
                  <c:v>dic - 2025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ROA_ROE!$A$4,ROA_ROE!$A$5,ROA_ROE!$A$6,ROA_ROE!$A$7,ROA_ROE!$A$8,ROA_ROE!$A$4,ROA_ROE!$A$5,ROA_ROE!$A$6,ROA_ROE!$A$7,ROA_ROE!$A$8</c:f>
              <c:strCache>
                <c:ptCount val="10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Bancolombia</c:v>
                </c:pt>
                <c:pt idx="6">
                  <c:v>Banco Davivienda</c:v>
                </c:pt>
                <c:pt idx="7">
                  <c:v>Banco de Bogotá</c:v>
                </c:pt>
                <c:pt idx="8">
                  <c:v>Banco de Occidente</c:v>
                </c:pt>
                <c:pt idx="9">
                  <c:v>BBVA Colombia</c:v>
                </c:pt>
              </c:strCache>
            </c:strRef>
          </c:cat>
          <c:val>
            <c:numRef>
              <c:f>ROA_ROE!G4:G9</c:f>
              <c:numCache>
                <c:formatCode>0.0%</c:formatCode>
                <c:ptCount val="6"/>
                <c:pt idx="0">
                  <c:v>0.24690000000000001</c:v>
                </c:pt>
                <c:pt idx="1">
                  <c:v>0.1222</c:v>
                </c:pt>
                <c:pt idx="2">
                  <c:v>7.5999999999999998E-2</c:v>
                </c:pt>
                <c:pt idx="3">
                  <c:v>9.35E-2</c:v>
                </c:pt>
                <c:pt idx="4">
                  <c:v>6.5199999999999994E-2</c:v>
                </c:pt>
                <c:pt idx="5">
                  <c:v>6.1000000000000004E-3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05-4E95-B3ED-8E2C6C348742}"/>
            </c:ext>
          </c:extLst>
        </c:ser>
        <c:ser>
          <c:idx val="2"/>
          <c:order val="2"/>
          <c:tx>
            <c:strRef>
              <c:f>ROA_ROE!H3</c:f>
              <c:strCache>
                <c:ptCount val="1"/>
                <c:pt idx="0">
                  <c:v>jun - 2026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ROA_ROE!$A$4,ROA_ROE!$A$5,ROA_ROE!$A$6,ROA_ROE!$A$7,ROA_ROE!$A$8,ROA_ROE!$A$4,ROA_ROE!$A$5,ROA_ROE!$A$6,ROA_ROE!$A$7,ROA_ROE!$A$8</c:f>
              <c:strCache>
                <c:ptCount val="10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Bancolombia</c:v>
                </c:pt>
                <c:pt idx="6">
                  <c:v>Banco Davivienda</c:v>
                </c:pt>
                <c:pt idx="7">
                  <c:v>Banco de Bogotá</c:v>
                </c:pt>
                <c:pt idx="8">
                  <c:v>Banco de Occidente</c:v>
                </c:pt>
                <c:pt idx="9">
                  <c:v>BBVA Colombia</c:v>
                </c:pt>
              </c:strCache>
            </c:strRef>
          </c:cat>
          <c:val>
            <c:numRef>
              <c:f>ROA_ROE!H4:H9</c:f>
              <c:numCache>
                <c:formatCode>0.0%</c:formatCode>
                <c:ptCount val="6"/>
                <c:pt idx="0">
                  <c:v>0.3145</c:v>
                </c:pt>
                <c:pt idx="1">
                  <c:v>0.16220000000000001</c:v>
                </c:pt>
                <c:pt idx="2">
                  <c:v>0.1043</c:v>
                </c:pt>
                <c:pt idx="3" formatCode="0.00%">
                  <c:v>0.1384</c:v>
                </c:pt>
                <c:pt idx="4">
                  <c:v>0.13320000000000001</c:v>
                </c:pt>
                <c:pt idx="5">
                  <c:v>1.8499999999999999E-2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05-4E95-B3ED-8E2C6C34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6711"/>
        <c:axId val="13585415"/>
      </c:barChart>
      <c:lineChart>
        <c:grouping val="standard"/>
        <c:varyColors val="0"/>
        <c:ser>
          <c:idx val="3"/>
          <c:order val="3"/>
          <c:tx>
            <c:strRef>
              <c:f>ROA_ROE!N3</c:f>
              <c:strCache>
                <c:ptCount val="1"/>
                <c:pt idx="0">
                  <c:v>Promedio Jun - 2026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05-4E95-B3ED-8E2C6C34874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05-4E95-B3ED-8E2C6C34874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05-4E95-B3ED-8E2C6C34874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05-4E95-B3ED-8E2C6C34874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05-4E95-B3ED-8E2C6C3487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ROA_ROE!$A$4,ROA_ROE!$A$5,ROA_ROE!$A$6,ROA_ROE!$A$7,ROA_ROE!$A$8,ROA_ROE!$A$4,ROA_ROE!$A$5,ROA_ROE!$A$6,ROA_ROE!$A$7,ROA_ROE!$A$8</c:f>
              <c:strCache>
                <c:ptCount val="10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Bancolombia</c:v>
                </c:pt>
                <c:pt idx="6">
                  <c:v>Banco Davivienda</c:v>
                </c:pt>
                <c:pt idx="7">
                  <c:v>Banco de Bogotá</c:v>
                </c:pt>
                <c:pt idx="8">
                  <c:v>Banco de Occidente</c:v>
                </c:pt>
                <c:pt idx="9">
                  <c:v>BBVA Colombia</c:v>
                </c:pt>
              </c:strCache>
            </c:strRef>
          </c:cat>
          <c:val>
            <c:numRef>
              <c:f>ROA_ROE!N4:N9</c:f>
              <c:numCache>
                <c:formatCode>0.0%</c:formatCode>
                <c:ptCount val="6"/>
                <c:pt idx="0">
                  <c:v>0.1451833333333333</c:v>
                </c:pt>
                <c:pt idx="1">
                  <c:v>0.1451833333333333</c:v>
                </c:pt>
                <c:pt idx="2">
                  <c:v>0.1451833333333333</c:v>
                </c:pt>
                <c:pt idx="3">
                  <c:v>0.1451833333333333</c:v>
                </c:pt>
                <c:pt idx="4">
                  <c:v>0.1451833333333333</c:v>
                </c:pt>
                <c:pt idx="5">
                  <c:v>0.1451833333333333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05-4E95-B3ED-8E2C6C34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711"/>
        <c:axId val="13585415"/>
      </c:lineChart>
      <c:catAx>
        <c:axId val="1357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415"/>
        <c:crosses val="autoZero"/>
        <c:auto val="1"/>
        <c:lblAlgn val="ctr"/>
        <c:lblOffset val="100"/>
        <c:noMultiLvlLbl val="0"/>
      </c:catAx>
      <c:valAx>
        <c:axId val="135854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57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ROA_ROE!T3</c:f>
              <c:strCache>
                <c:ptCount val="1"/>
                <c:pt idx="0">
                  <c:v>jun - 2025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117712649097063E-2"/>
                  <c:y val="-3.86740331491712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42-474E-A611-996F2C0CD212}"/>
                </c:ext>
              </c:extLst>
            </c:dLbl>
            <c:dLbl>
              <c:idx val="5"/>
              <c:layout>
                <c:manualLayout>
                  <c:x val="-2.5208100127266646E-2"/>
                  <c:y val="-4.6408806057924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A42-474E-A611-996F2C0CD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ROA_ROE!A4:A9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ROA_ROE!T4:T9</c:f>
              <c:numCache>
                <c:formatCode>0.00%</c:formatCode>
                <c:ptCount val="6"/>
                <c:pt idx="0" formatCode="0.0%">
                  <c:v>2.52E-2</c:v>
                </c:pt>
                <c:pt idx="1">
                  <c:v>9.7000000000000003E-3</c:v>
                </c:pt>
                <c:pt idx="2">
                  <c:v>9.4999999999999998E-3</c:v>
                </c:pt>
                <c:pt idx="3">
                  <c:v>8.2000000000000007E-3</c:v>
                </c:pt>
                <c:pt idx="4">
                  <c:v>2.5999999999999999E-3</c:v>
                </c:pt>
                <c:pt idx="5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2-474E-A611-996F2C0CD212}"/>
            </c:ext>
          </c:extLst>
        </c:ser>
        <c:ser>
          <c:idx val="1"/>
          <c:order val="1"/>
          <c:tx>
            <c:strRef>
              <c:f>ROA_ROE!U3</c:f>
              <c:strCache>
                <c:ptCount val="1"/>
                <c:pt idx="0">
                  <c:v>dic - 2025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ROA_ROE!A4:A9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ROA_ROE!U4:U9</c:f>
              <c:numCache>
                <c:formatCode>0.00%</c:formatCode>
                <c:ptCount val="6"/>
                <c:pt idx="0">
                  <c:v>2.3900000000000001E-2</c:v>
                </c:pt>
                <c:pt idx="1">
                  <c:v>1.1900000000000001E-2</c:v>
                </c:pt>
                <c:pt idx="2">
                  <c:v>9.1999999999999998E-3</c:v>
                </c:pt>
                <c:pt idx="3">
                  <c:v>6.4999999999999997E-3</c:v>
                </c:pt>
                <c:pt idx="4">
                  <c:v>4.1999999999999997E-3</c:v>
                </c:pt>
                <c:pt idx="5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42-474E-A611-996F2C0CD212}"/>
            </c:ext>
          </c:extLst>
        </c:ser>
        <c:ser>
          <c:idx val="2"/>
          <c:order val="2"/>
          <c:tx>
            <c:strRef>
              <c:f>ROA_ROE!V3</c:f>
              <c:strCache>
                <c:ptCount val="1"/>
                <c:pt idx="0">
                  <c:v>jun - 2026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5219961703886684E-2"/>
                  <c:y val="-4.1988899694621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42-474E-A611-996F2C0CD212}"/>
                </c:ext>
              </c:extLst>
            </c:dLbl>
            <c:dLbl>
              <c:idx val="5"/>
              <c:layout>
                <c:manualLayout>
                  <c:x val="2.2354398130945186E-2"/>
                  <c:y val="-6.6297330909011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42-474E-A611-996F2C0CD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ROA_ROE!A4:A9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ROA_ROE!V4:V9</c:f>
              <c:numCache>
                <c:formatCode>0.00%</c:formatCode>
                <c:ptCount val="6"/>
                <c:pt idx="0">
                  <c:v>2.7199999999999998E-2</c:v>
                </c:pt>
                <c:pt idx="1">
                  <c:v>1.52E-2</c:v>
                </c:pt>
                <c:pt idx="2">
                  <c:v>1.03E-2</c:v>
                </c:pt>
                <c:pt idx="3">
                  <c:v>8.6E-3</c:v>
                </c:pt>
                <c:pt idx="4">
                  <c:v>8.0000000000000002E-3</c:v>
                </c:pt>
                <c:pt idx="5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42-474E-A611-996F2C0C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6711"/>
        <c:axId val="13585415"/>
      </c:barChart>
      <c:lineChart>
        <c:grouping val="standard"/>
        <c:varyColors val="0"/>
        <c:ser>
          <c:idx val="3"/>
          <c:order val="3"/>
          <c:tx>
            <c:strRef>
              <c:f>ROA_ROE!AB3</c:f>
              <c:strCache>
                <c:ptCount val="1"/>
                <c:pt idx="0">
                  <c:v>Promedio Jun - 2026</c:v>
                </c:pt>
              </c:strCache>
            </c:strRef>
          </c:tx>
          <c:spPr>
            <a:ln w="28575" cap="rnd">
              <a:solidFill>
                <a:srgbClr val="A9D08E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42-474E-A611-996F2C0CD2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42-474E-A611-996F2C0CD2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42-474E-A611-996F2C0CD2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42-474E-A611-996F2C0CD2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42-474E-A611-996F2C0CD2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ROA_ROE!A4:A9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ROA_ROE!AB4:AB9</c:f>
              <c:numCache>
                <c:formatCode>0.00%</c:formatCode>
                <c:ptCount val="6"/>
                <c:pt idx="0">
                  <c:v>1.1783333333333333E-2</c:v>
                </c:pt>
                <c:pt idx="1">
                  <c:v>1.1783333333333333E-2</c:v>
                </c:pt>
                <c:pt idx="2">
                  <c:v>1.1783333333333333E-2</c:v>
                </c:pt>
                <c:pt idx="3">
                  <c:v>1.1783333333333333E-2</c:v>
                </c:pt>
                <c:pt idx="4">
                  <c:v>1.1783333333333333E-2</c:v>
                </c:pt>
                <c:pt idx="5">
                  <c:v>1.1783333333333333E-2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2-474E-A611-996F2C0C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6711"/>
        <c:axId val="13585415"/>
      </c:lineChart>
      <c:catAx>
        <c:axId val="1357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5415"/>
        <c:crosses val="autoZero"/>
        <c:auto val="1"/>
        <c:lblAlgn val="ctr"/>
        <c:lblOffset val="100"/>
        <c:noMultiLvlLbl val="0"/>
      </c:catAx>
      <c:valAx>
        <c:axId val="135854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57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4.4525399716656547E-2"/>
          <c:y val="5.8746355685131209E-2"/>
          <c:w val="0.93118801861971279"/>
          <c:h val="0.6882972536596190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'Ingresos_Egresos '!$A$3:$A$9</c:f>
              <c:strCache>
                <c:ptCount val="7"/>
                <c:pt idx="1">
                  <c:v>Bancolombia</c:v>
                </c:pt>
                <c:pt idx="2">
                  <c:v>Banco de Bogotá</c:v>
                </c:pt>
                <c:pt idx="3">
                  <c:v>Banco Davivienda</c:v>
                </c:pt>
                <c:pt idx="4">
                  <c:v>Banco de Occidente</c:v>
                </c:pt>
                <c:pt idx="5">
                  <c:v>BBVA Colombia</c:v>
                </c:pt>
                <c:pt idx="6">
                  <c:v>Banco Popular</c:v>
                </c:pt>
              </c:strCache>
            </c:strRef>
          </c:cat>
          <c:val>
            <c:numRef>
              <c:f>'Ingresos_Egresos '!$H$3:$H$9</c:f>
              <c:numCache>
                <c:formatCode>0%</c:formatCode>
                <c:ptCount val="7"/>
                <c:pt idx="1">
                  <c:v>-6.0736319284036618E-2</c:v>
                </c:pt>
                <c:pt idx="2">
                  <c:v>-7.5437231229029095E-2</c:v>
                </c:pt>
                <c:pt idx="3">
                  <c:v>-4.0541289823076039E-2</c:v>
                </c:pt>
                <c:pt idx="4">
                  <c:v>-5.522118094827741E-2</c:v>
                </c:pt>
                <c:pt idx="5">
                  <c:v>4.4754215571059649E-3</c:v>
                </c:pt>
                <c:pt idx="6">
                  <c:v>2.2016326236127468E-2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F5-4DF6-86A6-6840CDBA41F8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'Ingresos_Egresos '!$A$3:$A$9</c:f>
              <c:strCache>
                <c:ptCount val="7"/>
                <c:pt idx="1">
                  <c:v>Bancolombia</c:v>
                </c:pt>
                <c:pt idx="2">
                  <c:v>Banco de Bogotá</c:v>
                </c:pt>
                <c:pt idx="3">
                  <c:v>Banco Davivienda</c:v>
                </c:pt>
                <c:pt idx="4">
                  <c:v>Banco de Occidente</c:v>
                </c:pt>
                <c:pt idx="5">
                  <c:v>BBVA Colombia</c:v>
                </c:pt>
                <c:pt idx="6">
                  <c:v>Banco Popular</c:v>
                </c:pt>
              </c:strCache>
            </c:strRef>
          </c:cat>
          <c:val>
            <c:numRef>
              <c:f>'Ingresos_Egresos '!$O$3:$O$9</c:f>
              <c:numCache>
                <c:formatCode>0%</c:formatCode>
                <c:ptCount val="7"/>
                <c:pt idx="1">
                  <c:v>-0.14770627583881307</c:v>
                </c:pt>
                <c:pt idx="2">
                  <c:v>-9.9504531028907398E-2</c:v>
                </c:pt>
                <c:pt idx="3">
                  <c:v>-0.13244255711384276</c:v>
                </c:pt>
                <c:pt idx="4">
                  <c:v>-9.0563606112950057E-2</c:v>
                </c:pt>
                <c:pt idx="5">
                  <c:v>-0.12691727529583108</c:v>
                </c:pt>
                <c:pt idx="6">
                  <c:v>-0.14468411126826969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BF5-4DF6-86A6-6840CDBA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512611"/>
        <c:axId val="329097215"/>
      </c:barChart>
      <c:catAx>
        <c:axId val="142512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329097215"/>
        <c:crosses val="autoZero"/>
        <c:auto val="1"/>
        <c:lblAlgn val="ctr"/>
        <c:lblOffset val="100"/>
        <c:noMultiLvlLbl val="1"/>
      </c:catAx>
      <c:valAx>
        <c:axId val="32909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51261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3.4709244880372844E-2"/>
          <c:y val="4.907509536592862E-2"/>
          <c:w val="0.9420006585596894"/>
          <c:h val="0.75019787161781348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ICV!$E$3</c:f>
              <c:strCache>
                <c:ptCount val="1"/>
                <c:pt idx="0">
                  <c:v>jun - 2025</c:v>
                </c:pt>
              </c:strCache>
            </c:strRef>
          </c:tx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ECA-4A8E-BAB1-2ECA9B29C3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ICV!$A$4:$A$9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ICV!$E$4:$E$9</c:f>
              <c:numCache>
                <c:formatCode>0.00%</c:formatCode>
                <c:ptCount val="6"/>
                <c:pt idx="0">
                  <c:v>3.9E-2</c:v>
                </c:pt>
                <c:pt idx="1">
                  <c:v>5.3100000000000001E-2</c:v>
                </c:pt>
                <c:pt idx="2">
                  <c:v>4.2999999999999997E-2</c:v>
                </c:pt>
                <c:pt idx="3">
                  <c:v>3.5400000000000001E-2</c:v>
                </c:pt>
                <c:pt idx="4">
                  <c:v>3.95E-2</c:v>
                </c:pt>
                <c:pt idx="5">
                  <c:v>2.6800000000000001E-2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AD-4EED-A6B0-012F21AE42E5}"/>
            </c:ext>
          </c:extLst>
        </c:ser>
        <c:ser>
          <c:idx val="1"/>
          <c:order val="1"/>
          <c:tx>
            <c:strRef>
              <c:f>ICV!$F$3</c:f>
              <c:strCache>
                <c:ptCount val="1"/>
                <c:pt idx="0">
                  <c:v>dic - 2025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6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ICV!$A$4:$A$9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ICV!$F$4:$F$9</c:f>
              <c:numCache>
                <c:formatCode>0.00%</c:formatCode>
                <c:ptCount val="6"/>
                <c:pt idx="0">
                  <c:v>3.44E-2</c:v>
                </c:pt>
                <c:pt idx="1">
                  <c:v>4.3700000000000003E-2</c:v>
                </c:pt>
                <c:pt idx="2">
                  <c:v>3.85E-2</c:v>
                </c:pt>
                <c:pt idx="3">
                  <c:v>3.1600000000000003E-2</c:v>
                </c:pt>
                <c:pt idx="4">
                  <c:v>3.44E-2</c:v>
                </c:pt>
                <c:pt idx="5">
                  <c:v>2.46E-2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4AD-4EED-A6B0-012F21AE42E5}"/>
            </c:ext>
          </c:extLst>
        </c:ser>
        <c:ser>
          <c:idx val="0"/>
          <c:order val="2"/>
          <c:tx>
            <c:strRef>
              <c:f>ICV!$G$3</c:f>
              <c:strCache>
                <c:ptCount val="1"/>
                <c:pt idx="0">
                  <c:v>jun - 2026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ICV!$A$4:$A$9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ICV!$G$4:$G$9</c:f>
              <c:numCache>
                <c:formatCode>0.00%</c:formatCode>
                <c:ptCount val="6"/>
                <c:pt idx="0">
                  <c:v>3.3599999999999998E-2</c:v>
                </c:pt>
                <c:pt idx="1">
                  <c:v>4.41E-2</c:v>
                </c:pt>
                <c:pt idx="2">
                  <c:v>3.9899999999999998E-2</c:v>
                </c:pt>
                <c:pt idx="3">
                  <c:v>3.09E-2</c:v>
                </c:pt>
                <c:pt idx="4">
                  <c:v>3.1600000000000003E-2</c:v>
                </c:pt>
                <c:pt idx="5">
                  <c:v>2.4899999999999999E-2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AD-4EED-A6B0-012F21AE4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290451"/>
        <c:axId val="558808953"/>
      </c:barChart>
      <c:lineChart>
        <c:grouping val="standard"/>
        <c:varyColors val="0"/>
        <c:ser>
          <c:idx val="2"/>
          <c:order val="3"/>
          <c:tx>
            <c:strRef>
              <c:f>ICV!L3</c:f>
              <c:strCache>
                <c:ptCount val="1"/>
                <c:pt idx="0">
                  <c:v>Promedio Jun 2026</c:v>
                </c:pt>
              </c:strCache>
            </c:strRef>
          </c:tx>
          <c:spPr>
            <a:ln w="19050" cap="flat" cmpd="sng" algn="ctr">
              <a:solidFill>
                <a:srgbClr val="548235"/>
              </a:solidFill>
              <a:prstDash val="sysDash"/>
              <a:round/>
              <a:headEnd type="none" w="med" len="med"/>
              <a:tailEnd type="none" w="med" len="med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AD-4EED-A6B0-012F21AE42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4AD-4EED-A6B0-012F21AE42E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AD-4EED-A6B0-012F21AE42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4AD-4EED-A6B0-012F21AE42E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AD-4EED-A6B0-012F21AE42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ICV!$A$4:$A$9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ICV!L4:L9</c:f>
              <c:numCache>
                <c:formatCode>0.00%</c:formatCode>
                <c:ptCount val="6"/>
                <c:pt idx="0">
                  <c:v>3.4166666666666665E-2</c:v>
                </c:pt>
                <c:pt idx="1">
                  <c:v>3.4166666666666665E-2</c:v>
                </c:pt>
                <c:pt idx="2">
                  <c:v>3.4166666666666665E-2</c:v>
                </c:pt>
                <c:pt idx="3">
                  <c:v>3.4166666666666665E-2</c:v>
                </c:pt>
                <c:pt idx="4">
                  <c:v>3.4166666666666665E-2</c:v>
                </c:pt>
                <c:pt idx="5">
                  <c:v>3.4166666666666665E-2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AD-4EED-A6B0-012F21AE4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290451"/>
        <c:axId val="558808953"/>
      </c:lineChart>
      <c:catAx>
        <c:axId val="1078290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6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558808953"/>
        <c:crosses val="autoZero"/>
        <c:auto val="1"/>
        <c:lblAlgn val="ctr"/>
        <c:lblOffset val="100"/>
        <c:noMultiLvlLbl val="1"/>
      </c:catAx>
      <c:valAx>
        <c:axId val="558808953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782904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6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1.4314928425357873E-2"/>
          <c:y val="4.8575403978117198E-3"/>
          <c:w val="0.98568510979471224"/>
          <c:h val="0.81414318692091214"/>
        </c:manualLayout>
      </c:layout>
      <c:lineChart>
        <c:grouping val="standard"/>
        <c:varyColors val="1"/>
        <c:ser>
          <c:idx val="0"/>
          <c:order val="0"/>
          <c:tx>
            <c:v>2022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0-34FC-4F73-BCEE-AA055EAD339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1-34FC-4F73-BCEE-AA055EAD3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ICV!$A$4:$A$8</c:f>
              <c:strCache>
                <c:ptCount val="5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</c:strCache>
            </c:strRef>
          </c:cat>
          <c:val>
            <c:numRef>
              <c:f>ICV!$B$4:$B$8</c:f>
              <c:numCache>
                <c:formatCode>0.00%</c:formatCode>
                <c:ptCount val="5"/>
                <c:pt idx="0">
                  <c:v>3.2199999999999999E-2</c:v>
                </c:pt>
                <c:pt idx="1">
                  <c:v>4.7E-2</c:v>
                </c:pt>
                <c:pt idx="2">
                  <c:v>3.6999999999999998E-2</c:v>
                </c:pt>
                <c:pt idx="3">
                  <c:v>2.98E-2</c:v>
                </c:pt>
                <c:pt idx="4">
                  <c:v>2.7300000000000001E-2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C-4F73-BCEE-AA055EAD3394}"/>
            </c:ext>
          </c:extLst>
        </c:ser>
        <c:ser>
          <c:idx val="1"/>
          <c:order val="1"/>
          <c:tx>
            <c:v>2023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34FC-4F73-BCEE-AA055EAD339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34FC-4F73-BCEE-AA055EAD3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ICV!$A$4:$A$8</c:f>
              <c:strCache>
                <c:ptCount val="5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</c:strCache>
            </c:strRef>
          </c:cat>
          <c:val>
            <c:numRef>
              <c:f>ICV!$C$4:$C$8</c:f>
              <c:numCache>
                <c:formatCode>0.0%</c:formatCode>
                <c:ptCount val="5"/>
                <c:pt idx="0">
                  <c:v>4.58E-2</c:v>
                </c:pt>
                <c:pt idx="1">
                  <c:v>6.8099999999999994E-2</c:v>
                </c:pt>
                <c:pt idx="2">
                  <c:v>4.4299999999999999E-2</c:v>
                </c:pt>
                <c:pt idx="3">
                  <c:v>3.9600000000000003E-2</c:v>
                </c:pt>
                <c:pt idx="4">
                  <c:v>3.78E-2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FC-4F73-BCEE-AA055EAD3394}"/>
            </c:ext>
          </c:extLst>
        </c:ser>
        <c:ser>
          <c:idx val="2"/>
          <c:order val="2"/>
          <c:tx>
            <c:v>2024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34FC-4F73-BCEE-AA055EAD339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34FC-4F73-BCEE-AA055EAD33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ICV!$A$4:$A$8</c:f>
              <c:strCache>
                <c:ptCount val="5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</c:strCache>
            </c:strRef>
          </c:cat>
          <c:val>
            <c:numRef>
              <c:f>ICV!$D$4:$D$8</c:f>
              <c:numCache>
                <c:formatCode>0.0%</c:formatCode>
                <c:ptCount val="5"/>
                <c:pt idx="0">
                  <c:v>4.4299999999999999E-2</c:v>
                </c:pt>
                <c:pt idx="1">
                  <c:v>5.4399999999999997E-2</c:v>
                </c:pt>
                <c:pt idx="2">
                  <c:v>4.3999999999999997E-2</c:v>
                </c:pt>
                <c:pt idx="3">
                  <c:v>3.2599999999999997E-2</c:v>
                </c:pt>
                <c:pt idx="4">
                  <c:v>4.5699999999999998E-2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FC-4F73-BCEE-AA055EAD3394}"/>
            </c:ext>
          </c:extLst>
        </c:ser>
        <c:ser>
          <c:idx val="3"/>
          <c:order val="3"/>
          <c:tx>
            <c:v>2025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ICV!$A$4:$A$8</c:f>
              <c:strCache>
                <c:ptCount val="5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</c:strCache>
            </c:strRef>
          </c:cat>
          <c:val>
            <c:numRef>
              <c:f>ICV!$F$4:$F$9</c:f>
              <c:numCache>
                <c:formatCode>0.00%</c:formatCode>
                <c:ptCount val="6"/>
                <c:pt idx="0">
                  <c:v>3.44E-2</c:v>
                </c:pt>
                <c:pt idx="1">
                  <c:v>4.3700000000000003E-2</c:v>
                </c:pt>
                <c:pt idx="2">
                  <c:v>3.85E-2</c:v>
                </c:pt>
                <c:pt idx="3">
                  <c:v>3.1600000000000003E-2</c:v>
                </c:pt>
                <c:pt idx="4">
                  <c:v>3.44E-2</c:v>
                </c:pt>
                <c:pt idx="5">
                  <c:v>2.46E-2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FC-4F73-BCEE-AA055EAD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27253"/>
        <c:axId val="1559557065"/>
      </c:lineChart>
      <c:catAx>
        <c:axId val="193727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559557065"/>
        <c:crosses val="autoZero"/>
        <c:auto val="1"/>
        <c:lblAlgn val="ctr"/>
        <c:lblOffset val="100"/>
        <c:noMultiLvlLbl val="1"/>
      </c:catAx>
      <c:valAx>
        <c:axId val="15595570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727253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8.2151282947216742E-2"/>
          <c:y val="0.91133289061758849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7813436029097131E-2"/>
          <c:y val="5.09683995922528E-2"/>
          <c:w val="0.93219945474981458"/>
          <c:h val="0.76456221926147583"/>
        </c:manualLayout>
      </c:layout>
      <c:barChart>
        <c:barDir val="col"/>
        <c:grouping val="clustered"/>
        <c:varyColors val="1"/>
        <c:ser>
          <c:idx val="3"/>
          <c:order val="0"/>
          <c:tx>
            <c:strRef>
              <c:f>'IRL-CFEN'!E3</c:f>
              <c:strCache>
                <c:ptCount val="1"/>
                <c:pt idx="0">
                  <c:v>jun - 2025</c:v>
                </c:pt>
              </c:strCache>
            </c:strRef>
          </c:tx>
          <c:spPr>
            <a:solidFill>
              <a:srgbClr val="C65911"/>
            </a:solidFill>
            <a:ln w="9525" cmpd="sng">
              <a:solidFill>
                <a:schemeClr val="accent2"/>
              </a:solidFill>
              <a:prstDash val="dash"/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FA8-4245-AE9C-2509421167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'IRL-CFEN'!E4:E9</c:f>
              <c:numCache>
                <c:formatCode>0%</c:formatCode>
                <c:ptCount val="6"/>
                <c:pt idx="0">
                  <c:v>1.6629</c:v>
                </c:pt>
                <c:pt idx="1">
                  <c:v>2.0013000000000001</c:v>
                </c:pt>
                <c:pt idx="2">
                  <c:v>1.3090999999999999</c:v>
                </c:pt>
                <c:pt idx="3">
                  <c:v>1.407</c:v>
                </c:pt>
                <c:pt idx="4">
                  <c:v>1.8754</c:v>
                </c:pt>
                <c:pt idx="5">
                  <c:v>1.6109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1A-46E2-A3F2-EC79B0E7BC43}"/>
            </c:ext>
          </c:extLst>
        </c:ser>
        <c:ser>
          <c:idx val="1"/>
          <c:order val="1"/>
          <c:tx>
            <c:strRef>
              <c:f>'IRL-CFEN'!F3</c:f>
              <c:strCache>
                <c:ptCount val="1"/>
                <c:pt idx="0">
                  <c:v>dic - 2025</c:v>
                </c:pt>
              </c:strCache>
            </c:strRef>
          </c:tx>
          <c:spPr>
            <a:solidFill>
              <a:srgbClr val="2F75B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'IRL-CFEN'!F4:F9</c:f>
              <c:numCache>
                <c:formatCode>0%</c:formatCode>
                <c:ptCount val="6"/>
                <c:pt idx="0">
                  <c:v>1.7576000000000001</c:v>
                </c:pt>
                <c:pt idx="1">
                  <c:v>1.7282999999999999</c:v>
                </c:pt>
                <c:pt idx="2">
                  <c:v>1.5908</c:v>
                </c:pt>
                <c:pt idx="3">
                  <c:v>1.4415</c:v>
                </c:pt>
                <c:pt idx="4">
                  <c:v>1.5582</c:v>
                </c:pt>
                <c:pt idx="5">
                  <c:v>1.4294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11A-46E2-A3F2-EC79B0E7BC43}"/>
            </c:ext>
          </c:extLst>
        </c:ser>
        <c:ser>
          <c:idx val="0"/>
          <c:order val="2"/>
          <c:tx>
            <c:strRef>
              <c:f>'IRL-CFEN'!G3</c:f>
              <c:strCache>
                <c:ptCount val="1"/>
                <c:pt idx="0">
                  <c:v>jun - 2026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'IRL-CFEN'!G4:G9</c:f>
              <c:numCache>
                <c:formatCode>0%</c:formatCode>
                <c:ptCount val="6"/>
                <c:pt idx="0">
                  <c:v>1.6407</c:v>
                </c:pt>
                <c:pt idx="1">
                  <c:v>1.5007999999999999</c:v>
                </c:pt>
                <c:pt idx="2">
                  <c:v>1.2556</c:v>
                </c:pt>
                <c:pt idx="3">
                  <c:v>1.3143</c:v>
                </c:pt>
                <c:pt idx="4">
                  <c:v>1.7918000000000001</c:v>
                </c:pt>
                <c:pt idx="5">
                  <c:v>1.7091000000000001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1A-46E2-A3F2-EC79B0E7B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245661"/>
        <c:axId val="176843101"/>
      </c:barChart>
      <c:lineChart>
        <c:grouping val="standard"/>
        <c:varyColors val="1"/>
        <c:ser>
          <c:idx val="2"/>
          <c:order val="3"/>
          <c:tx>
            <c:v>Mínimo regulatorio</c:v>
          </c:tx>
          <c:spPr>
            <a:ln w="19050">
              <a:solidFill>
                <a:srgbClr val="548235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11A-46E2-A3F2-EC79B0E7BC4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11A-46E2-A3F2-EC79B0E7BC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11A-46E2-A3F2-EC79B0E7BC4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11A-46E2-A3F2-EC79B0E7BC4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11A-46E2-A3F2-EC79B0E7BC43}"/>
                </c:ext>
              </c:extLst>
            </c:dLbl>
            <c:dLbl>
              <c:idx val="5"/>
              <c:layout>
                <c:manualLayout>
                  <c:x val="4.7735588232481523E-2"/>
                  <c:y val="-5.7395143487858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11A-46E2-A3F2-EC79B0E7BC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'IRL-CFEN'!O4:O9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1A-46E2-A3F2-EC79B0E7B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245661"/>
        <c:axId val="176843101"/>
      </c:lineChart>
      <c:catAx>
        <c:axId val="1490245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76843101"/>
        <c:crosses val="autoZero"/>
        <c:auto val="1"/>
        <c:lblAlgn val="ctr"/>
        <c:lblOffset val="100"/>
        <c:noMultiLvlLbl val="1"/>
      </c:catAx>
      <c:valAx>
        <c:axId val="176843101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14902456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5316455696202531E-2"/>
          <c:y val="4.3341213553979512E-2"/>
          <c:w val="0.93459915611814348"/>
          <c:h val="0.7160229084839571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'IRL-CFEN'!S3</c:f>
              <c:strCache>
                <c:ptCount val="1"/>
                <c:pt idx="0">
                  <c:v>jun 2025</c:v>
                </c:pt>
              </c:strCache>
            </c:strRef>
          </c:tx>
          <c:spPr>
            <a:solidFill>
              <a:srgbClr val="2F75B5"/>
            </a:solidFill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C1E-4A0E-B58A-944D0CDEB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'IRL-CFEN'!S4:S9</c:f>
              <c:numCache>
                <c:formatCode>0%</c:formatCode>
                <c:ptCount val="6"/>
                <c:pt idx="0">
                  <c:v>1.2349000000000001</c:v>
                </c:pt>
                <c:pt idx="1">
                  <c:v>1.1137999999999999</c:v>
                </c:pt>
                <c:pt idx="2">
                  <c:v>1.1059000000000001</c:v>
                </c:pt>
                <c:pt idx="3">
                  <c:v>1.0516000000000001</c:v>
                </c:pt>
                <c:pt idx="4">
                  <c:v>1.2193000000000001</c:v>
                </c:pt>
                <c:pt idx="5">
                  <c:v>1.1505000000000001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60-410F-B3DB-2086DC509351}"/>
            </c:ext>
          </c:extLst>
        </c:ser>
        <c:ser>
          <c:idx val="1"/>
          <c:order val="1"/>
          <c:tx>
            <c:strRef>
              <c:f>'IRL-CFEN'!T3</c:f>
              <c:strCache>
                <c:ptCount val="1"/>
                <c:pt idx="0">
                  <c:v>dic 2025</c:v>
                </c:pt>
              </c:strCache>
            </c:strRef>
          </c:tx>
          <c:spPr>
            <a:solidFill>
              <a:srgbClr val="C65911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960-410F-B3DB-2086DC509351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D960-410F-B3DB-2086DC509351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D960-410F-B3DB-2086DC5093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'IRL-CFEN'!$T$4:$T$9</c:f>
              <c:numCache>
                <c:formatCode>0%</c:formatCode>
                <c:ptCount val="6"/>
                <c:pt idx="0">
                  <c:v>1.2172000000000001</c:v>
                </c:pt>
                <c:pt idx="1">
                  <c:v>1.1087</c:v>
                </c:pt>
                <c:pt idx="2">
                  <c:v>1.0952</c:v>
                </c:pt>
                <c:pt idx="3">
                  <c:v>1.0792999999999999</c:v>
                </c:pt>
                <c:pt idx="4">
                  <c:v>1.1507000000000001</c:v>
                </c:pt>
                <c:pt idx="5">
                  <c:v>1.131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D960-410F-B3DB-2086DC509351}"/>
            </c:ext>
          </c:extLst>
        </c:ser>
        <c:ser>
          <c:idx val="3"/>
          <c:order val="2"/>
          <c:tx>
            <c:strRef>
              <c:f>'IRL-CFEN'!U3</c:f>
              <c:strCache>
                <c:ptCount val="1"/>
                <c:pt idx="0">
                  <c:v>jun 2026</c:v>
                </c:pt>
              </c:strCache>
            </c:strRef>
          </c:tx>
          <c:spPr>
            <a:solidFill>
              <a:srgbClr val="FFC000"/>
            </a:solidFill>
            <a:ln w="9525" cmpd="sng">
              <a:solidFill>
                <a:schemeClr val="accent2"/>
              </a:solidFill>
              <a:prstDash val="dash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'IRL-CFEN'!U4:U9</c:f>
              <c:numCache>
                <c:formatCode>0%</c:formatCode>
                <c:ptCount val="6"/>
                <c:pt idx="0">
                  <c:v>1.2090000000000001</c:v>
                </c:pt>
                <c:pt idx="1">
                  <c:v>1.127</c:v>
                </c:pt>
                <c:pt idx="2">
                  <c:v>1.0465</c:v>
                </c:pt>
                <c:pt idx="3">
                  <c:v>1.0810999999999999</c:v>
                </c:pt>
                <c:pt idx="4">
                  <c:v>1.1973</c:v>
                </c:pt>
                <c:pt idx="5">
                  <c:v>1.2212000000000001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60-410F-B3DB-2086DC509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91584"/>
        <c:axId val="694388707"/>
      </c:barChart>
      <c:lineChart>
        <c:grouping val="standard"/>
        <c:varyColors val="1"/>
        <c:ser>
          <c:idx val="2"/>
          <c:order val="3"/>
          <c:tx>
            <c:v>Mínimo regulatorio</c:v>
          </c:tx>
          <c:spPr>
            <a:ln w="28575">
              <a:solidFill>
                <a:srgbClr val="548235"/>
              </a:solidFill>
              <a:prstDash val="sysDot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60-410F-B3DB-2086DC50935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60-410F-B3DB-2086DC50935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60-410F-B3DB-2086DC5093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60-410F-B3DB-2086DC50935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60-410F-B3DB-2086DC509351}"/>
                </c:ext>
              </c:extLst>
            </c:dLbl>
            <c:dLbl>
              <c:idx val="5"/>
              <c:layout>
                <c:manualLayout>
                  <c:x val="3.6332197530321964E-2"/>
                  <c:y val="1.56170250784910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60-410F-B3DB-2086DC5093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'IRL-CFEN'!$A$4:$A$9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'IRL-CFEN'!AC4:AC9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60-410F-B3DB-2086DC509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91584"/>
        <c:axId val="694388707"/>
      </c:lineChart>
      <c:catAx>
        <c:axId val="7339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694388707"/>
        <c:crosses val="autoZero"/>
        <c:auto val="1"/>
        <c:lblAlgn val="ctr"/>
        <c:lblOffset val="100"/>
        <c:noMultiLvlLbl val="1"/>
      </c:catAx>
      <c:valAx>
        <c:axId val="694388707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733915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2.159827213822894E-2"/>
          <c:y val="4.0551500405515001E-2"/>
          <c:w val="0.9604031677465803"/>
          <c:h val="0.81335370551170394"/>
        </c:manualLayout>
      </c:layout>
      <c:barChart>
        <c:barDir val="col"/>
        <c:grouping val="clustered"/>
        <c:varyColors val="1"/>
        <c:ser>
          <c:idx val="0"/>
          <c:order val="0"/>
          <c:tx>
            <c:v>Solvencia básica </c:v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Solvencia!G4:G9</c:f>
              <c:numCache>
                <c:formatCode>0.0%</c:formatCode>
                <c:ptCount val="6"/>
                <c:pt idx="0" formatCode="0.00%">
                  <c:v>0.1206</c:v>
                </c:pt>
                <c:pt idx="1">
                  <c:v>0.12670000000000001</c:v>
                </c:pt>
                <c:pt idx="2">
                  <c:v>0.13617000000000001</c:v>
                </c:pt>
                <c:pt idx="3">
                  <c:v>9.7900000000000001E-2</c:v>
                </c:pt>
                <c:pt idx="4">
                  <c:v>9.9699999999999997E-2</c:v>
                </c:pt>
                <c:pt idx="5">
                  <c:v>0.11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0A-4F90-B03E-B5A8EA4A4926}"/>
            </c:ext>
          </c:extLst>
        </c:ser>
        <c:ser>
          <c:idx val="1"/>
          <c:order val="1"/>
          <c:tx>
            <c:v>Solvencia total</c:v>
          </c:tx>
          <c:spPr>
            <a:solidFill>
              <a:srgbClr val="0070C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Solvencia!O4:O9</c:f>
              <c:numCache>
                <c:formatCode>0.0%</c:formatCode>
                <c:ptCount val="6"/>
                <c:pt idx="0">
                  <c:v>0.13900000000000001</c:v>
                </c:pt>
                <c:pt idx="1">
                  <c:v>0.1852</c:v>
                </c:pt>
                <c:pt idx="2">
                  <c:v>0.1467</c:v>
                </c:pt>
                <c:pt idx="3">
                  <c:v>0.11899999999999999</c:v>
                </c:pt>
                <c:pt idx="4">
                  <c:v>0.13800000000000001</c:v>
                </c:pt>
                <c:pt idx="5">
                  <c:v>0.12695999999999999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0A-4F90-B03E-B5A8EA4A4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714254"/>
        <c:axId val="1166817812"/>
      </c:barChart>
      <c:lineChart>
        <c:grouping val="standard"/>
        <c:varyColors val="1"/>
        <c:ser>
          <c:idx val="2"/>
          <c:order val="2"/>
          <c:tx>
            <c:v>Mínimo regulatorio solvencia total</c:v>
          </c:tx>
          <c:spPr>
            <a:ln w="28575">
              <a:solidFill>
                <a:srgbClr val="5B9BD5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0A-4F90-B03E-B5A8EA4A492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0A-4F90-B03E-B5A8EA4A49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0A-4F90-B03E-B5A8EA4A49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0A-4F90-B03E-B5A8EA4A49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0A-4F90-B03E-B5A8EA4A4926}"/>
                </c:ext>
              </c:extLst>
            </c:dLbl>
            <c:dLbl>
              <c:idx val="5"/>
              <c:layout>
                <c:manualLayout>
                  <c:x val="4.6793745720436583E-2"/>
                  <c:y val="-4.19479793281003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50A-4F90-B03E-B5A8EA4A4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Solvencia!$Q$4:$Q$9</c:f>
              <c:numCache>
                <c:formatCode>0%</c:formatCode>
                <c:ptCount val="6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0A-4F90-B03E-B5A8EA4A4926}"/>
            </c:ext>
          </c:extLst>
        </c:ser>
        <c:ser>
          <c:idx val="3"/>
          <c:order val="3"/>
          <c:tx>
            <c:v>Mínimo regulatorio solvencia básica</c:v>
          </c:tx>
          <c:spPr>
            <a:ln w="28575">
              <a:solidFill>
                <a:srgbClr val="ED7D31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50A-4F90-B03E-B5A8EA4A492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0A-4F90-B03E-B5A8EA4A492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50A-4F90-B03E-B5A8EA4A492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50A-4F90-B03E-B5A8EA4A492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50A-4F90-B03E-B5A8EA4A4926}"/>
                </c:ext>
              </c:extLst>
            </c:dLbl>
            <c:dLbl>
              <c:idx val="5"/>
              <c:layout>
                <c:manualLayout>
                  <c:x val="4.3327556325823052E-2"/>
                  <c:y val="9.32169416183433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50A-4F90-B03E-B5A8EA4A49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Solvencia!$I$4:$I$9</c:f>
              <c:numCache>
                <c:formatCode>0.0%</c:formatCode>
                <c:ptCount val="6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0A-4F90-B03E-B5A8EA4A4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714254"/>
        <c:axId val="1166817812"/>
      </c:lineChart>
      <c:catAx>
        <c:axId val="193571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166817812"/>
        <c:crosses val="autoZero"/>
        <c:auto val="1"/>
        <c:lblAlgn val="ctr"/>
        <c:lblOffset val="100"/>
        <c:noMultiLvlLbl val="1"/>
      </c:catAx>
      <c:valAx>
        <c:axId val="116681781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9357142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Solvencia Basica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159827213822894E-2"/>
          <c:y val="4.0551500405515001E-2"/>
          <c:w val="0.9604031677465803"/>
          <c:h val="0.813353705511703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Solvencia!E3</c:f>
              <c:strCache>
                <c:ptCount val="1"/>
                <c:pt idx="0">
                  <c:v>jun 2025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Solvencia!E4:E9</c:f>
              <c:numCache>
                <c:formatCode>0.0%</c:formatCode>
                <c:ptCount val="6"/>
                <c:pt idx="0">
                  <c:v>0.10976</c:v>
                </c:pt>
                <c:pt idx="1">
                  <c:v>0.1225</c:v>
                </c:pt>
                <c:pt idx="2">
                  <c:v>0.15479999999999999</c:v>
                </c:pt>
                <c:pt idx="3">
                  <c:v>0.10106</c:v>
                </c:pt>
                <c:pt idx="4">
                  <c:v>8.7059999999999998E-2</c:v>
                </c:pt>
                <c:pt idx="5">
                  <c:v>0.1014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3C-4F5D-A31F-7BE43523B010}"/>
            </c:ext>
          </c:extLst>
        </c:ser>
        <c:ser>
          <c:idx val="1"/>
          <c:order val="1"/>
          <c:tx>
            <c:strRef>
              <c:f>Solvencia!F3</c:f>
              <c:strCache>
                <c:ptCount val="1"/>
                <c:pt idx="0">
                  <c:v>dic 2025</c:v>
                </c:pt>
              </c:strCache>
            </c:strRef>
          </c:tx>
          <c:spPr>
            <a:solidFill>
              <a:srgbClr val="0070C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Solvencia!F4:F9</c:f>
              <c:numCache>
                <c:formatCode>0.0%</c:formatCode>
                <c:ptCount val="6"/>
                <c:pt idx="0">
                  <c:v>0.1222</c:v>
                </c:pt>
                <c:pt idx="1">
                  <c:v>0.1211</c:v>
                </c:pt>
                <c:pt idx="2">
                  <c:v>0.16039999999999999</c:v>
                </c:pt>
                <c:pt idx="3">
                  <c:v>0.1012</c:v>
                </c:pt>
                <c:pt idx="4">
                  <c:v>9.6699999999999994E-2</c:v>
                </c:pt>
                <c:pt idx="5">
                  <c:v>0.10680000000000001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3C-4F5D-A31F-7BE43523B010}"/>
            </c:ext>
          </c:extLst>
        </c:ser>
        <c:ser>
          <c:idx val="4"/>
          <c:order val="2"/>
          <c:tx>
            <c:strRef>
              <c:f>Solvencia!G3</c:f>
              <c:strCache>
                <c:ptCount val="1"/>
                <c:pt idx="0">
                  <c:v>jun 2026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Solvencia!G4:G9</c:f>
              <c:numCache>
                <c:formatCode>0.0%</c:formatCode>
                <c:ptCount val="6"/>
                <c:pt idx="0" formatCode="0.00%">
                  <c:v>0.1206</c:v>
                </c:pt>
                <c:pt idx="1">
                  <c:v>0.12670000000000001</c:v>
                </c:pt>
                <c:pt idx="2">
                  <c:v>0.13617000000000001</c:v>
                </c:pt>
                <c:pt idx="3">
                  <c:v>9.7900000000000001E-2</c:v>
                </c:pt>
                <c:pt idx="4">
                  <c:v>9.9699999999999997E-2</c:v>
                </c:pt>
                <c:pt idx="5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C-4F8D-A6D1-F6202C5F4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714254"/>
        <c:axId val="1166817812"/>
      </c:barChart>
      <c:lineChart>
        <c:grouping val="standard"/>
        <c:varyColors val="1"/>
        <c:ser>
          <c:idx val="2"/>
          <c:order val="3"/>
          <c:tx>
            <c:strRef>
              <c:f>Solvencia!I2</c:f>
              <c:strCache>
                <c:ptCount val="1"/>
                <c:pt idx="0">
                  <c:v>Mínimo regulatorio solvencia básica</c:v>
                </c:pt>
              </c:strCache>
            </c:strRef>
          </c:tx>
          <c:spPr>
            <a:ln w="28575">
              <a:solidFill>
                <a:srgbClr val="5B9BD5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3C-4F5D-A31F-7BE43523B0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3C-4F5D-A31F-7BE43523B01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3C-4F5D-A31F-7BE43523B0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33C-4F5D-A31F-7BE43523B0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3C-4F5D-A31F-7BE43523B010}"/>
                </c:ext>
              </c:extLst>
            </c:dLbl>
            <c:dLbl>
              <c:idx val="5"/>
              <c:layout>
                <c:manualLayout>
                  <c:x val="4.3327556325823052E-2"/>
                  <c:y val="9.321694161834338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3C-4F5D-A31F-7BE43523B0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Solvencia!I4:I9</c:f>
              <c:numCache>
                <c:formatCode>0.0%</c:formatCode>
                <c:ptCount val="6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3C-4F5D-A31F-7BE43523B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714254"/>
        <c:axId val="1166817812"/>
      </c:lineChart>
      <c:catAx>
        <c:axId val="193571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166817812"/>
        <c:crosses val="autoZero"/>
        <c:auto val="1"/>
        <c:lblAlgn val="ctr"/>
        <c:lblOffset val="100"/>
        <c:noMultiLvlLbl val="1"/>
      </c:catAx>
      <c:valAx>
        <c:axId val="116681781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9357142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Solvencia Total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159827213822894E-2"/>
          <c:y val="4.0551500405515001E-2"/>
          <c:w val="0.9604031677465803"/>
          <c:h val="0.813353705511703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Solvencia!M3</c:f>
              <c:strCache>
                <c:ptCount val="1"/>
                <c:pt idx="0">
                  <c:v>jun 2025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Solvencia!M4:M9</c:f>
              <c:numCache>
                <c:formatCode>0.0%</c:formatCode>
                <c:ptCount val="6"/>
                <c:pt idx="0">
                  <c:v>0.13450000000000001</c:v>
                </c:pt>
                <c:pt idx="1">
                  <c:v>0.18065000000000001</c:v>
                </c:pt>
                <c:pt idx="2">
                  <c:v>0.17657999999999999</c:v>
                </c:pt>
                <c:pt idx="3">
                  <c:v>0.12820000000000001</c:v>
                </c:pt>
                <c:pt idx="4">
                  <c:v>0.12470000000000001</c:v>
                </c:pt>
                <c:pt idx="5">
                  <c:v>0.11817999999999999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939-42D3-AED6-42E5B3C56EFE}"/>
            </c:ext>
          </c:extLst>
        </c:ser>
        <c:ser>
          <c:idx val="1"/>
          <c:order val="1"/>
          <c:tx>
            <c:strRef>
              <c:f>Solvencia!N3</c:f>
              <c:strCache>
                <c:ptCount val="1"/>
                <c:pt idx="0">
                  <c:v>dic 2025</c:v>
                </c:pt>
              </c:strCache>
            </c:strRef>
          </c:tx>
          <c:spPr>
            <a:solidFill>
              <a:srgbClr val="0070C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Solvencia!N4:N9</c:f>
              <c:numCache>
                <c:formatCode>0.0%</c:formatCode>
                <c:ptCount val="6"/>
                <c:pt idx="0">
                  <c:v>0.14399999999999999</c:v>
                </c:pt>
                <c:pt idx="1">
                  <c:v>0.18890000000000001</c:v>
                </c:pt>
                <c:pt idx="2">
                  <c:v>0.18060000000000001</c:v>
                </c:pt>
                <c:pt idx="3">
                  <c:v>0.1249</c:v>
                </c:pt>
                <c:pt idx="4">
                  <c:v>0.1338</c:v>
                </c:pt>
                <c:pt idx="5">
                  <c:v>0.12659999999999999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939-42D3-AED6-42E5B3C56EFE}"/>
            </c:ext>
          </c:extLst>
        </c:ser>
        <c:ser>
          <c:idx val="4"/>
          <c:order val="2"/>
          <c:tx>
            <c:strRef>
              <c:f>Solvencia!O3</c:f>
              <c:strCache>
                <c:ptCount val="1"/>
                <c:pt idx="0">
                  <c:v>jun 2026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Solvencia!O4:O9</c:f>
              <c:numCache>
                <c:formatCode>0.0%</c:formatCode>
                <c:ptCount val="6"/>
                <c:pt idx="0">
                  <c:v>0.13900000000000001</c:v>
                </c:pt>
                <c:pt idx="1">
                  <c:v>0.1852</c:v>
                </c:pt>
                <c:pt idx="2">
                  <c:v>0.1467</c:v>
                </c:pt>
                <c:pt idx="3">
                  <c:v>0.11899999999999999</c:v>
                </c:pt>
                <c:pt idx="4">
                  <c:v>0.13800000000000001</c:v>
                </c:pt>
                <c:pt idx="5">
                  <c:v>0.12695999999999999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9-42D3-AED6-42E5B3C56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5714254"/>
        <c:axId val="1166817812"/>
      </c:barChart>
      <c:lineChart>
        <c:grouping val="standard"/>
        <c:varyColors val="1"/>
        <c:ser>
          <c:idx val="2"/>
          <c:order val="3"/>
          <c:tx>
            <c:strRef>
              <c:f>Solvencia!Q2</c:f>
              <c:strCache>
                <c:ptCount val="1"/>
                <c:pt idx="0">
                  <c:v>Mínimo regulatorio solvencia total</c:v>
                </c:pt>
              </c:strCache>
            </c:strRef>
          </c:tx>
          <c:spPr>
            <a:ln w="28575">
              <a:solidFill>
                <a:srgbClr val="5B9BD5"/>
              </a:solidFill>
              <a:prstDash val="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39-42D3-AED6-42E5B3C56EF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39-42D3-AED6-42E5B3C56E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39-42D3-AED6-42E5B3C56E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39-42D3-AED6-42E5B3C56E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39-42D3-AED6-42E5B3C56EFE}"/>
                </c:ext>
              </c:extLst>
            </c:dLbl>
            <c:dLbl>
              <c:idx val="5"/>
              <c:layout>
                <c:manualLayout>
                  <c:x val="5.4863536196743293E-2"/>
                  <c:y val="1.86801402090796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39-42D3-AED6-42E5B3C56E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Solvencia!$A$4:$A$9</c:f>
              <c:strCache>
                <c:ptCount val="6"/>
                <c:pt idx="0">
                  <c:v>Bancolombia</c:v>
                </c:pt>
                <c:pt idx="1">
                  <c:v>Banco Davivienda</c:v>
                </c:pt>
                <c:pt idx="2">
                  <c:v>Banco de Bogotá</c:v>
                </c:pt>
                <c:pt idx="3">
                  <c:v>Banco de Occidente</c:v>
                </c:pt>
                <c:pt idx="4">
                  <c:v>BBVA Colombia</c:v>
                </c:pt>
                <c:pt idx="5">
                  <c:v>Banco Popular</c:v>
                </c:pt>
              </c:strCache>
            </c:strRef>
          </c:cat>
          <c:val>
            <c:numRef>
              <c:f>Solvencia!Q4:Q9</c:f>
              <c:numCache>
                <c:formatCode>0%</c:formatCode>
                <c:ptCount val="6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39-42D3-AED6-42E5B3C56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714254"/>
        <c:axId val="1166817812"/>
      </c:lineChart>
      <c:catAx>
        <c:axId val="193571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166817812"/>
        <c:crosses val="autoZero"/>
        <c:auto val="1"/>
        <c:lblAlgn val="ctr"/>
        <c:lblOffset val="100"/>
        <c:noMultiLvlLbl val="1"/>
      </c:catAx>
      <c:valAx>
        <c:axId val="1166817812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9357142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Arial Narrow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Cartera BBVA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2022</c:v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Cartera!$A$105:$A$109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Cartera!$B$105:$B$109</c:f>
              <c:numCache>
                <c:formatCode>0.00%</c:formatCode>
                <c:ptCount val="5"/>
                <c:pt idx="0">
                  <c:v>0.42487147124634983</c:v>
                </c:pt>
                <c:pt idx="1">
                  <c:v>0.37032005519436018</c:v>
                </c:pt>
                <c:pt idx="2">
                  <c:v>2.1771296302276319E-8</c:v>
                </c:pt>
                <c:pt idx="3">
                  <c:v>0.20480845178799365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E1-4955-A2D1-9123C40B30C3}"/>
            </c:ext>
          </c:extLst>
        </c:ser>
        <c:ser>
          <c:idx val="1"/>
          <c:order val="1"/>
          <c:tx>
            <c:v>2023</c:v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Cartera!$A$105:$A$109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Cartera!$C$105:$C$109</c:f>
              <c:numCache>
                <c:formatCode>0.00%</c:formatCode>
                <c:ptCount val="5"/>
                <c:pt idx="0">
                  <c:v>0.41344193722465994</c:v>
                </c:pt>
                <c:pt idx="1">
                  <c:v>0.3873921348619902</c:v>
                </c:pt>
                <c:pt idx="2">
                  <c:v>2.0441311828451656E-8</c:v>
                </c:pt>
                <c:pt idx="3">
                  <c:v>0.19916590747203805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E1-4955-A2D1-9123C40B30C3}"/>
            </c:ext>
          </c:extLst>
        </c:ser>
        <c:ser>
          <c:idx val="2"/>
          <c:order val="2"/>
          <c:tx>
            <c:v>2024</c:v>
          </c:tx>
          <c:spPr>
            <a:solidFill>
              <a:srgbClr val="70AD4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Cartera!$A$105:$A$109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Cartera!$D$105:$D$109</c:f>
              <c:numCache>
                <c:formatCode>0.00%</c:formatCode>
                <c:ptCount val="5"/>
                <c:pt idx="0">
                  <c:v>0.4260250458955151</c:v>
                </c:pt>
                <c:pt idx="1">
                  <c:v>0.37301739333580008</c:v>
                </c:pt>
                <c:pt idx="2">
                  <c:v>2.021209034340083E-8</c:v>
                </c:pt>
                <c:pt idx="3">
                  <c:v>0.20095754055659443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CE1-4955-A2D1-9123C40B3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2741677"/>
        <c:axId val="774555282"/>
        <c:axId val="0"/>
      </c:bar3DChart>
      <c:catAx>
        <c:axId val="2042741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4555282"/>
        <c:crosses val="autoZero"/>
        <c:auto val="1"/>
        <c:lblAlgn val="ctr"/>
        <c:lblOffset val="100"/>
        <c:noMultiLvlLbl val="1"/>
      </c:catAx>
      <c:valAx>
        <c:axId val="774555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27416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Indicador de mora por modalidad de credito BBVA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2022</c:v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Cartera!$A$129:$A$133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Cartera!$B$129:$B$133</c:f>
              <c:numCache>
                <c:formatCode>General</c:formatCode>
                <c:ptCount val="5"/>
                <c:pt idx="0">
                  <c:v>1.5050198818266308E-2</c:v>
                </c:pt>
                <c:pt idx="1">
                  <c:v>4.5676962579823566E-2</c:v>
                </c:pt>
                <c:pt idx="2">
                  <c:v>1</c:v>
                </c:pt>
                <c:pt idx="3">
                  <c:v>1.9807207419484923E-2</c:v>
                </c:pt>
                <c:pt idx="4">
                  <c:v>1.0805343688175748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49-4000-B46F-00F3801DC55C}"/>
            </c:ext>
          </c:extLst>
        </c:ser>
        <c:ser>
          <c:idx val="1"/>
          <c:order val="1"/>
          <c:tx>
            <c:v>2023</c:v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Cartera!$A$129:$A$133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Cartera!$C$129:$C$133</c:f>
              <c:numCache>
                <c:formatCode>General</c:formatCode>
                <c:ptCount val="5"/>
                <c:pt idx="0">
                  <c:v>1.3246573083287836E-2</c:v>
                </c:pt>
                <c:pt idx="1">
                  <c:v>7.2665080926278741E-2</c:v>
                </c:pt>
                <c:pt idx="2">
                  <c:v>1</c:v>
                </c:pt>
                <c:pt idx="3">
                  <c:v>2.1973312080085957E-2</c:v>
                </c:pt>
                <c:pt idx="4">
                  <c:v>1.1078849660896526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49-4000-B46F-00F3801DC55C}"/>
            </c:ext>
          </c:extLst>
        </c:ser>
        <c:ser>
          <c:idx val="2"/>
          <c:order val="2"/>
          <c:tx>
            <c:v>2024</c:v>
          </c:tx>
          <c:spPr>
            <a:solidFill>
              <a:srgbClr val="70AD4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Cartera!$A$129:$A$133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Cartera!$D$129:$D$133</c:f>
              <c:numCache>
                <c:formatCode>General</c:formatCode>
                <c:ptCount val="5"/>
                <c:pt idx="0">
                  <c:v>1.2730088219787845E-2</c:v>
                </c:pt>
                <c:pt idx="1">
                  <c:v>9.531194115395647E-2</c:v>
                </c:pt>
                <c:pt idx="2">
                  <c:v>1</c:v>
                </c:pt>
                <c:pt idx="3">
                  <c:v>2.470786240421893E-2</c:v>
                </c:pt>
                <c:pt idx="4">
                  <c:v>1.1327498917779633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49-4000-B46F-00F3801D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0722308"/>
        <c:axId val="194620933"/>
        <c:axId val="0"/>
      </c:bar3DChart>
      <c:catAx>
        <c:axId val="250722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620933"/>
        <c:crosses val="autoZero"/>
        <c:auto val="1"/>
        <c:lblAlgn val="ctr"/>
        <c:lblOffset val="100"/>
        <c:noMultiLvlLbl val="1"/>
      </c:catAx>
      <c:valAx>
        <c:axId val="19462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07223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Cartera en el sector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2022</c:v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Cartera!$A$145:$A$149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Cartera!$B$145:$B$149</c:f>
              <c:numCache>
                <c:formatCode>0.00%</c:formatCode>
                <c:ptCount val="5"/>
                <c:pt idx="0">
                  <c:v>0.5524946699190072</c:v>
                </c:pt>
                <c:pt idx="1">
                  <c:v>0.29643826051872835</c:v>
                </c:pt>
                <c:pt idx="2">
                  <c:v>1.6302835039338763E-3</c:v>
                </c:pt>
                <c:pt idx="3">
                  <c:v>0.14943678605833058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EA-476E-9C8F-94BD99697558}"/>
            </c:ext>
          </c:extLst>
        </c:ser>
        <c:ser>
          <c:idx val="1"/>
          <c:order val="1"/>
          <c:tx>
            <c:v>2023</c:v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Cartera!$A$145:$A$149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Cartera!$C$145:$C$149</c:f>
              <c:numCache>
                <c:formatCode>0.00%</c:formatCode>
                <c:ptCount val="5"/>
                <c:pt idx="0">
                  <c:v>0.55611944874896291</c:v>
                </c:pt>
                <c:pt idx="1">
                  <c:v>0.28223656020121629</c:v>
                </c:pt>
                <c:pt idx="2">
                  <c:v>1.5696446625476988E-3</c:v>
                </c:pt>
                <c:pt idx="3">
                  <c:v>0.16007434638727308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4EA-476E-9C8F-94BD99697558}"/>
            </c:ext>
          </c:extLst>
        </c:ser>
        <c:ser>
          <c:idx val="2"/>
          <c:order val="2"/>
          <c:tx>
            <c:v>2024</c:v>
          </c:tx>
          <c:spPr>
            <a:solidFill>
              <a:srgbClr val="70AD4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Cartera!$A$145:$A$149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Cartera!$D$145:$D$149</c:f>
              <c:numCache>
                <c:formatCode>0.00%</c:formatCode>
                <c:ptCount val="5"/>
                <c:pt idx="0">
                  <c:v>0.57262553129774518</c:v>
                </c:pt>
                <c:pt idx="1">
                  <c:v>0.25810359579453251</c:v>
                </c:pt>
                <c:pt idx="2">
                  <c:v>1.2326092300938166E-3</c:v>
                </c:pt>
                <c:pt idx="3">
                  <c:v>0.16803826367762853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4EA-476E-9C8F-94BD9969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2147784"/>
        <c:axId val="797713823"/>
        <c:axId val="0"/>
      </c:bar3DChart>
      <c:catAx>
        <c:axId val="64214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713823"/>
        <c:crosses val="autoZero"/>
        <c:auto val="1"/>
        <c:lblAlgn val="ctr"/>
        <c:lblOffset val="100"/>
        <c:noMultiLvlLbl val="1"/>
      </c:catAx>
      <c:valAx>
        <c:axId val="797713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21477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Indicador mora sector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2022</c:v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Cartera!$A$168:$A$172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Cartera!$B$168:$B$172</c:f>
              <c:numCache>
                <c:formatCode>General</c:formatCode>
                <c:ptCount val="5"/>
                <c:pt idx="0">
                  <c:v>2.5743033390209797E-2</c:v>
                </c:pt>
                <c:pt idx="1">
                  <c:v>5.2987035927913734E-2</c:v>
                </c:pt>
                <c:pt idx="2">
                  <c:v>0.29063199965739045</c:v>
                </c:pt>
                <c:pt idx="3">
                  <c:v>2.2587057016257645E-2</c:v>
                </c:pt>
                <c:pt idx="4">
                  <c:v>8.9611424186662583E-2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AE-403C-9F52-7A18F03FAE63}"/>
            </c:ext>
          </c:extLst>
        </c:ser>
        <c:ser>
          <c:idx val="1"/>
          <c:order val="1"/>
          <c:tx>
            <c:v>2023</c:v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Cartera!$A$168:$A$172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Cartera!$C$168:$C$172</c:f>
              <c:numCache>
                <c:formatCode>General</c:formatCode>
                <c:ptCount val="5"/>
                <c:pt idx="0">
                  <c:v>3.2314079204910771E-2</c:v>
                </c:pt>
                <c:pt idx="1">
                  <c:v>8.0720282077387337E-2</c:v>
                </c:pt>
                <c:pt idx="2">
                  <c:v>0.35197750231153979</c:v>
                </c:pt>
                <c:pt idx="3">
                  <c:v>2.7073807318121024E-2</c:v>
                </c:pt>
                <c:pt idx="4">
                  <c:v>0.1130668053547919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AE-403C-9F52-7A18F03FAE63}"/>
            </c:ext>
          </c:extLst>
        </c:ser>
        <c:ser>
          <c:idx val="2"/>
          <c:order val="2"/>
          <c:tx>
            <c:v>2024</c:v>
          </c:tx>
          <c:spPr>
            <a:solidFill>
              <a:srgbClr val="70AD47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Cartera!$A$168:$A$172</c:f>
              <c:strCache>
                <c:ptCount val="5"/>
                <c:pt idx="0">
                  <c:v>Comercial</c:v>
                </c:pt>
                <c:pt idx="1">
                  <c:v>Consumo</c:v>
                </c:pt>
                <c:pt idx="2">
                  <c:v>Microcrédito</c:v>
                </c:pt>
                <c:pt idx="3">
                  <c:v>Vivienda</c:v>
                </c:pt>
                <c:pt idx="4">
                  <c:v>Total general</c:v>
                </c:pt>
              </c:strCache>
            </c:strRef>
          </c:cat>
          <c:val>
            <c:numRef>
              <c:f>Cartera!$D$168:$D$172</c:f>
              <c:numCache>
                <c:formatCode>General</c:formatCode>
                <c:ptCount val="5"/>
                <c:pt idx="0">
                  <c:v>3.1543218862753609E-2</c:v>
                </c:pt>
                <c:pt idx="1">
                  <c:v>6.7803707459115695E-2</c:v>
                </c:pt>
                <c:pt idx="2">
                  <c:v>0.52218813848094325</c:v>
                </c:pt>
                <c:pt idx="3">
                  <c:v>3.1012646207219875E-2</c:v>
                </c:pt>
                <c:pt idx="4">
                  <c:v>0.14752600554692399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4AE-403C-9F52-7A18F03FA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9248823"/>
        <c:axId val="159166003"/>
        <c:axId val="0"/>
      </c:bar3DChart>
      <c:catAx>
        <c:axId val="1619248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166003"/>
        <c:crosses val="autoZero"/>
        <c:auto val="1"/>
        <c:lblAlgn val="ctr"/>
        <c:lblOffset val="100"/>
        <c:noMultiLvlLbl val="1"/>
      </c:catAx>
      <c:valAx>
        <c:axId val="159166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92488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1.png"/><Relationship Id="rId1" Type="http://schemas.openxmlformats.org/officeDocument/2006/relationships/chart" Target="../charts/chart10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495300</xdr:colOff>
      <xdr:row>15</xdr:row>
      <xdr:rowOff>9525</xdr:rowOff>
    </xdr:from>
    <xdr:ext cx="9534525" cy="4267200"/>
    <xdr:graphicFrame macro="">
      <xdr:nvGraphicFramePr>
        <xdr:cNvPr id="870921332" name="Chart 1">
          <a:extLst>
            <a:ext uri="{FF2B5EF4-FFF2-40B4-BE49-F238E27FC236}">
              <a16:creationId xmlns:a16="http://schemas.microsoft.com/office/drawing/2014/main" id="{00000000-0008-0000-0000-00007434E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781050</xdr:colOff>
      <xdr:row>25</xdr:row>
      <xdr:rowOff>180975</xdr:rowOff>
    </xdr:from>
    <xdr:ext cx="9563100" cy="4219575"/>
    <xdr:graphicFrame macro="">
      <xdr:nvGraphicFramePr>
        <xdr:cNvPr id="746889348" name="Chart 6">
          <a:extLst>
            <a:ext uri="{FF2B5EF4-FFF2-40B4-BE49-F238E27FC236}">
              <a16:creationId xmlns:a16="http://schemas.microsoft.com/office/drawing/2014/main" id="{00000000-0008-0000-0000-000084A0842C}"/>
            </a:ext>
            <a:ext uri="{147F2762-F138-4A5C-976F-8EAC2B608ADB}">
              <a16:predDERef xmlns:a16="http://schemas.microsoft.com/office/drawing/2014/main" pred="{00000000-0008-0000-0000-00007434E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142875</xdr:rowOff>
    </xdr:from>
    <xdr:to>
      <xdr:col>17</xdr:col>
      <xdr:colOff>438150</xdr:colOff>
      <xdr:row>27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154139-E10A-CBB2-43CD-E0C10A366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104775</xdr:colOff>
      <xdr:row>10</xdr:row>
      <xdr:rowOff>171450</xdr:rowOff>
    </xdr:from>
    <xdr:to>
      <xdr:col>31</xdr:col>
      <xdr:colOff>238125</xdr:colOff>
      <xdr:row>28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49FD1F-FC9D-4E10-851D-EBF8B9220A30}"/>
            </a:ext>
            <a:ext uri="{147F2762-F138-4A5C-976F-8EAC2B608ADB}">
              <a16:predDERef xmlns:a16="http://schemas.microsoft.com/office/drawing/2014/main" pred="{49154139-E10A-CBB2-43CD-E0C10A366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12</xdr:row>
      <xdr:rowOff>142875</xdr:rowOff>
    </xdr:from>
    <xdr:ext cx="6334125" cy="2971800"/>
    <xdr:graphicFrame macro="">
      <xdr:nvGraphicFramePr>
        <xdr:cNvPr id="140243530" name="Chart 2">
          <a:extLst>
            <a:ext uri="{FF2B5EF4-FFF2-40B4-BE49-F238E27FC236}">
              <a16:creationId xmlns:a16="http://schemas.microsoft.com/office/drawing/2014/main" id="{00000000-0008-0000-0200-00004AF25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10</xdr:row>
      <xdr:rowOff>123825</xdr:rowOff>
    </xdr:from>
    <xdr:ext cx="16592550" cy="4695825"/>
    <xdr:graphicFrame macro="">
      <xdr:nvGraphicFramePr>
        <xdr:cNvPr id="190339380" name="Chart 4">
          <a:extLst>
            <a:ext uri="{FF2B5EF4-FFF2-40B4-BE49-F238E27FC236}">
              <a16:creationId xmlns:a16="http://schemas.microsoft.com/office/drawing/2014/main" id="{00000000-0008-0000-0300-000034595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27</xdr:col>
      <xdr:colOff>457200</xdr:colOff>
      <xdr:row>17</xdr:row>
      <xdr:rowOff>95250</xdr:rowOff>
    </xdr:from>
    <xdr:ext cx="7543800" cy="4086225"/>
    <xdr:graphicFrame macro="">
      <xdr:nvGraphicFramePr>
        <xdr:cNvPr id="1488348540" name="Chart 7">
          <a:extLst>
            <a:ext uri="{FF2B5EF4-FFF2-40B4-BE49-F238E27FC236}">
              <a16:creationId xmlns:a16="http://schemas.microsoft.com/office/drawing/2014/main" id="{00000000-0008-0000-0300-00007C65B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12</xdr:row>
      <xdr:rowOff>152400</xdr:rowOff>
    </xdr:from>
    <xdr:ext cx="7781925" cy="4314825"/>
    <xdr:graphicFrame macro="">
      <xdr:nvGraphicFramePr>
        <xdr:cNvPr id="651277991" name="Chart 8">
          <a:extLst>
            <a:ext uri="{FF2B5EF4-FFF2-40B4-BE49-F238E27FC236}">
              <a16:creationId xmlns:a16="http://schemas.microsoft.com/office/drawing/2014/main" id="{00000000-0008-0000-0400-0000A7B6D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17</xdr:col>
      <xdr:colOff>257175</xdr:colOff>
      <xdr:row>13</xdr:row>
      <xdr:rowOff>0</xdr:rowOff>
    </xdr:from>
    <xdr:ext cx="11791950" cy="4305300"/>
    <xdr:graphicFrame macro="">
      <xdr:nvGraphicFramePr>
        <xdr:cNvPr id="169623865" name="Chart 9">
          <a:extLst>
            <a:ext uri="{FF2B5EF4-FFF2-40B4-BE49-F238E27FC236}">
              <a16:creationId xmlns:a16="http://schemas.microsoft.com/office/drawing/2014/main" id="{00000000-0008-0000-0400-000039411C0A}"/>
            </a:ext>
            <a:ext uri="{147F2762-F138-4A5C-976F-8EAC2B608ADB}">
              <a16:predDERef xmlns:a16="http://schemas.microsoft.com/office/drawing/2014/main" pred="{00000000-0008-0000-0400-0000A7B6D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10</xdr:row>
      <xdr:rowOff>104775</xdr:rowOff>
    </xdr:from>
    <xdr:ext cx="10991850" cy="5562600"/>
    <xdr:graphicFrame macro="">
      <xdr:nvGraphicFramePr>
        <xdr:cNvPr id="883592781" name="Chart 10">
          <a:extLst>
            <a:ext uri="{FF2B5EF4-FFF2-40B4-BE49-F238E27FC236}">
              <a16:creationId xmlns:a16="http://schemas.microsoft.com/office/drawing/2014/main" id="{00000000-0008-0000-0500-00004D8EA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19</xdr:col>
      <xdr:colOff>0</xdr:colOff>
      <xdr:row>4</xdr:row>
      <xdr:rowOff>0</xdr:rowOff>
    </xdr:from>
    <xdr:ext cx="16049625" cy="17802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</xdr:col>
      <xdr:colOff>400050</xdr:colOff>
      <xdr:row>45</xdr:row>
      <xdr:rowOff>0</xdr:rowOff>
    </xdr:from>
    <xdr:to>
      <xdr:col>16</xdr:col>
      <xdr:colOff>1581150</xdr:colOff>
      <xdr:row>77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D1DD3F-3660-49FE-BD0F-E33F19DD2705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83</xdr:row>
      <xdr:rowOff>0</xdr:rowOff>
    </xdr:from>
    <xdr:to>
      <xdr:col>16</xdr:col>
      <xdr:colOff>1895475</xdr:colOff>
      <xdr:row>115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2AD82E1-F650-4E99-9B36-89A0661CE8EE}"/>
            </a:ext>
            <a:ext uri="{147F2762-F138-4A5C-976F-8EAC2B608ADB}">
              <a16:predDERef xmlns:a16="http://schemas.microsoft.com/office/drawing/2014/main" pred="{28D1DD3F-3660-49FE-BD0F-E33F19DD2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828675</xdr:colOff>
      <xdr:row>97</xdr:row>
      <xdr:rowOff>0</xdr:rowOff>
    </xdr:from>
    <xdr:ext cx="6705600" cy="3162300"/>
    <xdr:graphicFrame macro="">
      <xdr:nvGraphicFramePr>
        <xdr:cNvPr id="1658880602" name="Chart 20">
          <a:extLst>
            <a:ext uri="{FF2B5EF4-FFF2-40B4-BE49-F238E27FC236}">
              <a16:creationId xmlns:a16="http://schemas.microsoft.com/office/drawing/2014/main" id="{00000000-0008-0000-0800-00005A82E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361950</xdr:colOff>
      <xdr:row>117</xdr:row>
      <xdr:rowOff>47625</xdr:rowOff>
    </xdr:from>
    <xdr:ext cx="6743700" cy="3086100"/>
    <xdr:graphicFrame macro="">
      <xdr:nvGraphicFramePr>
        <xdr:cNvPr id="1444408533" name="Chart 21">
          <a:extLst>
            <a:ext uri="{FF2B5EF4-FFF2-40B4-BE49-F238E27FC236}">
              <a16:creationId xmlns:a16="http://schemas.microsoft.com/office/drawing/2014/main" id="{00000000-0008-0000-0800-0000D5EC1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371475</xdr:colOff>
      <xdr:row>137</xdr:row>
      <xdr:rowOff>95250</xdr:rowOff>
    </xdr:from>
    <xdr:ext cx="6848475" cy="3752850"/>
    <xdr:graphicFrame macro="">
      <xdr:nvGraphicFramePr>
        <xdr:cNvPr id="2140501856" name="Chart 22">
          <a:extLst>
            <a:ext uri="{FF2B5EF4-FFF2-40B4-BE49-F238E27FC236}">
              <a16:creationId xmlns:a16="http://schemas.microsoft.com/office/drawing/2014/main" id="{00000000-0008-0000-0800-000060779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352425</xdr:colOff>
      <xdr:row>161</xdr:row>
      <xdr:rowOff>0</xdr:rowOff>
    </xdr:from>
    <xdr:ext cx="7458075" cy="3524250"/>
    <xdr:graphicFrame macro="">
      <xdr:nvGraphicFramePr>
        <xdr:cNvPr id="281094199" name="Chart 23">
          <a:extLst>
            <a:ext uri="{FF2B5EF4-FFF2-40B4-BE49-F238E27FC236}">
              <a16:creationId xmlns:a16="http://schemas.microsoft.com/office/drawing/2014/main" id="{00000000-0008-0000-0800-00003728C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78.859439814813" refreshedVersion="8" recordCount="69" xr:uid="{00000000-000A-0000-FFFF-FFFF01000000}">
  <cacheSource type="worksheet">
    <worksheetSource ref="A3:J72" sheet="Cartera"/>
  </cacheSource>
  <cacheFields count="10">
    <cacheField name="Año" numFmtId="1">
      <sharedItems containsSemiMixedTypes="0" containsString="0" containsNumber="1" containsInteger="1" minValue="2022" maxValue="2024" count="3">
        <n v="2022"/>
        <n v="2023"/>
        <n v="2024"/>
      </sharedItems>
    </cacheField>
    <cacheField name="Banco" numFmtId="0">
      <sharedItems count="6">
        <s v="BBVA Colombia"/>
        <s v="Banco Davivienda"/>
        <s v="Banco de Bogotá"/>
        <s v="Banco de Occidente"/>
        <s v="Banco Popular"/>
        <s v="Bancolombia"/>
      </sharedItems>
    </cacheField>
    <cacheField name="Modalidad De Credito" numFmtId="0">
      <sharedItems count="4">
        <s v="Comercial"/>
        <s v="Consumo"/>
        <s v="Microcrédito"/>
        <s v="Vivienda"/>
      </sharedItems>
    </cacheField>
    <cacheField name="Saldo Bruto" numFmtId="165">
      <sharedItems containsSemiMixedTypes="0" containsString="0" containsNumber="1" minValue="1507949.77" maxValue="124546574246021.66"/>
    </cacheField>
    <cacheField name="Saldo Mora" numFmtId="165">
      <sharedItems containsSemiMixedTypes="0" containsString="0" containsNumber="1" minValue="1507949.77" maxValue="4515787235712.4297"/>
    </cacheField>
    <cacheField name="Saldo Riesgo" numFmtId="165">
      <sharedItems containsSemiMixedTypes="0" containsString="0" containsNumber="1" minValue="1507949.77" maxValue="9843064191559.8906"/>
    </cacheField>
    <cacheField name="Saldo castigado" numFmtId="165">
      <sharedItems containsSemiMixedTypes="0" containsString="0" containsNumber="1" minValue="95960439.340000004" maxValue="9026111266406.2207"/>
    </cacheField>
    <cacheField name="Indicador mora" numFmtId="166">
      <sharedItems containsSemiMixedTypes="0" containsString="0" containsNumber="1" minValue="1.2730088219787845E-2" maxValue="1"/>
    </cacheField>
    <cacheField name="Indicador mora + castigo" numFmtId="166">
      <sharedItems containsSemiMixedTypes="0" containsString="0" containsNumber="1" minValue="2.1559719564822003E-2" maxValue="1"/>
    </cacheField>
    <cacheField name="Indicador riesgo" numFmtId="166">
      <sharedItems containsSemiMixedTypes="0" containsString="0" containsNumber="1" minValue="3.107325645283664E-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x v="0"/>
    <n v="29427960028200.41"/>
    <n v="442896649240.40997"/>
    <n v="1833915581445.6101"/>
    <n v="954267266641.32996"/>
    <n v="1.5050198818266308E-2"/>
    <n v="4.5986224193607719E-2"/>
    <n v="6.2318814477394763E-2"/>
  </r>
  <r>
    <x v="0"/>
    <x v="0"/>
    <x v="1"/>
    <n v="25649554087339.129"/>
    <n v="1171593722236.55"/>
    <n v="2016005188753.9402"/>
    <n v="994092668818.88"/>
    <n v="4.5676962579823566E-2"/>
    <n v="8.12834072931434E-2"/>
    <n v="7.859805990736736E-2"/>
  </r>
  <r>
    <x v="0"/>
    <x v="0"/>
    <x v="2"/>
    <n v="1507949.77"/>
    <n v="1507949.77"/>
    <n v="1507949.77"/>
    <n v="119595304.31999999"/>
    <n v="1"/>
    <n v="1"/>
    <n v="1"/>
  </r>
  <r>
    <x v="0"/>
    <x v="0"/>
    <x v="3"/>
    <n v="14185689886342.229"/>
    <n v="280978901967.27002"/>
    <n v="998620052296.08984"/>
    <n v="116393057657.3"/>
    <n v="1.9807207419484923E-2"/>
    <n v="2.7784201866294468E-2"/>
    <n v="7.0396297980371503E-2"/>
  </r>
  <r>
    <x v="0"/>
    <x v="1"/>
    <x v="0"/>
    <n v="44561589354819.461"/>
    <n v="1518505803686.29"/>
    <n v="5097522571633.2402"/>
    <n v="3070842647472.7998"/>
    <n v="3.4076562924972499E-2"/>
    <n v="9.6349236397130264E-2"/>
    <n v="0.11439274598229582"/>
  </r>
  <r>
    <x v="0"/>
    <x v="1"/>
    <x v="1"/>
    <n v="34438912923159.109"/>
    <n v="2793723077460.8794"/>
    <n v="4478574264154.5498"/>
    <n v="4298946732286.8799"/>
    <n v="8.112111679292254E-2"/>
    <n v="0.18309400345898127"/>
    <n v="0.13004400789732379"/>
  </r>
  <r>
    <x v="0"/>
    <x v="1"/>
    <x v="2"/>
    <n v="1386220324.7"/>
    <n v="202237140.47"/>
    <n v="657480477.95999992"/>
    <n v="19291487997.959999"/>
    <n v="0.14589105127553753"/>
    <n v="0.94274108301776782"/>
    <n v="0.47429724282991526"/>
  </r>
  <r>
    <x v="0"/>
    <x v="1"/>
    <x v="3"/>
    <n v="28412793221652.449"/>
    <n v="791509412762.81006"/>
    <n v="1746389304948.4199"/>
    <n v="368349829209.5"/>
    <n v="2.7857500900672693E-2"/>
    <n v="4.0299276506239184E-2"/>
    <n v="6.1464893343099909E-2"/>
  </r>
  <r>
    <x v="0"/>
    <x v="2"/>
    <x v="0"/>
    <n v="48468293554520.461"/>
    <n v="1517546993494.9502"/>
    <n v="4636020385806.2295"/>
    <n v="2047249729060.78"/>
    <n v="3.1310097430764905E-2"/>
    <n v="7.0568314044330477E-2"/>
    <n v="9.5650579911407768E-2"/>
  </r>
  <r>
    <x v="0"/>
    <x v="2"/>
    <x v="1"/>
    <n v="17328307924432.42"/>
    <n v="997102609919.12"/>
    <n v="1458565823805.8103"/>
    <n v="3255730976523.5801"/>
    <n v="5.7541833528548608E-2"/>
    <n v="0.20660831467070259"/>
    <n v="8.4172432193986707E-2"/>
  </r>
  <r>
    <x v="0"/>
    <x v="2"/>
    <x v="2"/>
    <n v="244969756961.91"/>
    <n v="25194139733"/>
    <n v="28774802223.469997"/>
    <n v="153973122091"/>
    <n v="0.10284591880016193"/>
    <n v="0.44910505045068827"/>
    <n v="0.11746267204708111"/>
  </r>
  <r>
    <x v="0"/>
    <x v="2"/>
    <x v="3"/>
    <n v="7399299019218.1992"/>
    <n v="174073771640"/>
    <n v="248762790102.00995"/>
    <n v="22558072576"/>
    <n v="2.352571117721803E-2"/>
    <n v="2.6493617673318089E-2"/>
    <n v="3.3619777962195924E-2"/>
  </r>
  <r>
    <x v="0"/>
    <x v="3"/>
    <x v="0"/>
    <n v="27948358891085.789"/>
    <n v="699625642778.4801"/>
    <n v="2318977845001.4199"/>
    <n v="1990629007231.04"/>
    <n v="2.5032798723707093E-2"/>
    <n v="8.9857902316088853E-2"/>
    <n v="8.2973667757682362E-2"/>
  </r>
  <r>
    <x v="0"/>
    <x v="3"/>
    <x v="1"/>
    <n v="10919698054599.211"/>
    <n v="485582595130.82007"/>
    <n v="763869200883.30994"/>
    <n v="1136290531063.3701"/>
    <n v="4.4468500200543555E-2"/>
    <n v="0.13452842250721608"/>
    <n v="6.9953326279162079E-2"/>
  </r>
  <r>
    <x v="0"/>
    <x v="3"/>
    <x v="3"/>
    <n v="2435317942128.6001"/>
    <n v="45617368500.959999"/>
    <n v="111370962828.47"/>
    <n v="7039165823.6400003"/>
    <n v="1.8731586423203512E-2"/>
    <n v="2.1559719564822003E-2"/>
    <n v="4.5731590484290416E-2"/>
  </r>
  <r>
    <x v="0"/>
    <x v="4"/>
    <x v="0"/>
    <n v="7159807324668.0703"/>
    <n v="177228416947.94"/>
    <n v="354609594599.01001"/>
    <n v="283225672405.54999"/>
    <n v="2.4753238308149073E-2"/>
    <n v="6.1863771064098051E-2"/>
    <n v="4.9527812484178792E-2"/>
  </r>
  <r>
    <x v="0"/>
    <x v="4"/>
    <x v="1"/>
    <n v="16552121665499.391"/>
    <n v="506916782348.56"/>
    <n v="800072343973.51001"/>
    <n v="513604481680.77002"/>
    <n v="3.062548672567807E-2"/>
    <n v="5.9799463276747532E-2"/>
    <n v="4.8336543202262112E-2"/>
  </r>
  <r>
    <x v="0"/>
    <x v="4"/>
    <x v="2"/>
    <n v="1664920722"/>
    <n v="148124917"/>
    <n v="148124917"/>
    <n v="894848814.89999998"/>
    <n v="8.8968150280491251E-2"/>
    <n v="0.40744829441289848"/>
    <n v="8.8968150280491251E-2"/>
  </r>
  <r>
    <x v="0"/>
    <x v="4"/>
    <x v="3"/>
    <n v="1226028559569.3398"/>
    <n v="28761989451"/>
    <n v="38096699850"/>
    <n v="14270957677.379999"/>
    <n v="2.3459477535419781E-2"/>
    <n v="3.4695609028298852E-2"/>
    <n v="3.107325645283664E-2"/>
  </r>
  <r>
    <x v="0"/>
    <x v="5"/>
    <x v="0"/>
    <n v="112866856847730.83"/>
    <n v="2735362602511.29"/>
    <n v="7475529548039.9297"/>
    <n v="2969962615305.54"/>
    <n v="2.4235304135398931E-2"/>
    <n v="4.9253123870838009E-2"/>
    <n v="6.6233168503356116E-2"/>
  </r>
  <r>
    <x v="0"/>
    <x v="5"/>
    <x v="1"/>
    <n v="40210811274425.594"/>
    <n v="2351862625978.79"/>
    <n v="3831198036555.3105"/>
    <n v="2489062852915.3701"/>
    <n v="5.8488315739966032E-2"/>
    <n v="0.113370954313762"/>
    <n v="9.527781000011766E-2"/>
  </r>
  <r>
    <x v="0"/>
    <x v="5"/>
    <x v="2"/>
    <n v="549962197997.45996"/>
    <n v="63495818436.329994"/>
    <n v="78605153056.950012"/>
    <n v="102224620744.56"/>
    <n v="0.11545487793076144"/>
    <n v="0.25409964509945515"/>
    <n v="0.14292828369507873"/>
  </r>
  <r>
    <x v="0"/>
    <x v="5"/>
    <x v="3"/>
    <n v="19486587592497.508"/>
    <n v="431449781291.60999"/>
    <n v="738428797735.65991"/>
    <n v="267341405986.94"/>
    <n v="2.2140858641546947E-2"/>
    <n v="3.537479492470396E-2"/>
    <n v="3.7894207707251985E-2"/>
  </r>
  <r>
    <x v="1"/>
    <x v="0"/>
    <x v="0"/>
    <n v="30499494326901.238"/>
    <n v="404013780604.62"/>
    <n v="1565078559557.0601"/>
    <n v="1070128001876.22"/>
    <n v="1.3246573083287836E-2"/>
    <n v="4.6694945132019459E-2"/>
    <n v="5.1314901905656372E-2"/>
  </r>
  <r>
    <x v="1"/>
    <x v="0"/>
    <x v="1"/>
    <n v="28577807802523.77"/>
    <n v="2076608716666.0298"/>
    <n v="2915585193203.6597"/>
    <n v="1193978211317.05"/>
    <n v="7.2665080926278741E-2"/>
    <n v="0.10985524773228564"/>
    <n v="0.10202270283818543"/>
  </r>
  <r>
    <x v="1"/>
    <x v="0"/>
    <x v="2"/>
    <n v="1507949.77"/>
    <n v="1507949.77"/>
    <n v="1507949.77"/>
    <n v="115520468"/>
    <n v="1"/>
    <n v="1"/>
    <n v="1"/>
  </r>
  <r>
    <x v="1"/>
    <x v="0"/>
    <x v="3"/>
    <n v="14692412448122.709"/>
    <n v="322840963931.94"/>
    <n v="934035727778.73999"/>
    <n v="113808237130.83"/>
    <n v="2.1973312080085957E-2"/>
    <n v="2.9490928870029395E-2"/>
    <n v="6.3572659090310554E-2"/>
  </r>
  <r>
    <x v="1"/>
    <x v="1"/>
    <x v="0"/>
    <n v="42852295347553.367"/>
    <n v="2028034340805.2896"/>
    <n v="5980247152463.9297"/>
    <n v="3001665764619.3198"/>
    <n v="4.7326154278479721E-2"/>
    <n v="0.10968954444569005"/>
    <n v="0.13955488507584388"/>
  </r>
  <r>
    <x v="1"/>
    <x v="1"/>
    <x v="1"/>
    <n v="28763012338182.23"/>
    <n v="3932210070576.1802"/>
    <n v="5678054051238.21"/>
    <n v="5304914957737.2998"/>
    <n v="0.13671064853510712"/>
    <n v="0.27113845078035764"/>
    <n v="0.19740818466710891"/>
  </r>
  <r>
    <x v="1"/>
    <x v="1"/>
    <x v="2"/>
    <n v="700457580.28999996"/>
    <n v="273546282.24000001"/>
    <n v="377932383.75999999"/>
    <n v="19213026693.639999"/>
    <n v="0.39052512234466469"/>
    <n v="0.97856169758253231"/>
    <n v="0.53955070855758358"/>
  </r>
  <r>
    <x v="1"/>
    <x v="1"/>
    <x v="3"/>
    <n v="31472947293970.691"/>
    <n v="1127053786636.0398"/>
    <n v="2514052404150.8896"/>
    <n v="355114133573.83002"/>
    <n v="3.5810239699157469E-2"/>
    <n v="4.6567960904058639E-2"/>
    <n v="7.9879789479789506E-2"/>
  </r>
  <r>
    <x v="1"/>
    <x v="2"/>
    <x v="0"/>
    <n v="52285995188596.352"/>
    <n v="1884668175690.7402"/>
    <n v="5119642304223.8994"/>
    <n v="2078238191369.76"/>
    <n v="3.6045372549431534E-2"/>
    <n v="7.2895470434811274E-2"/>
    <n v="9.791613004127156E-2"/>
  </r>
  <r>
    <x v="1"/>
    <x v="2"/>
    <x v="1"/>
    <n v="19214645299537.313"/>
    <n v="1388146121908.9102"/>
    <n v="2137090801065.0203"/>
    <n v="3763288983633.5601"/>
    <n v="7.2244171061660797E-2"/>
    <n v="0.22419052304955897"/>
    <n v="0.11122197510023676"/>
  </r>
  <r>
    <x v="1"/>
    <x v="2"/>
    <x v="2"/>
    <n v="252566360157.92001"/>
    <n v="33191522398"/>
    <n v="36455415137.43"/>
    <n v="131179182009"/>
    <n v="0.13141703581287159"/>
    <n v="0.4283325442136412"/>
    <n v="0.1443399473890182"/>
  </r>
  <r>
    <x v="1"/>
    <x v="2"/>
    <x v="3"/>
    <n v="8795879079965.3506"/>
    <n v="261539659987.17999"/>
    <n v="430785844860"/>
    <n v="28286962398"/>
    <n v="2.9734340093748795E-2"/>
    <n v="3.28446474141319E-2"/>
    <n v="4.8975871648942335E-2"/>
  </r>
  <r>
    <x v="1"/>
    <x v="3"/>
    <x v="0"/>
    <n v="30736810207468.59"/>
    <n v="954668022274.00977"/>
    <n v="2744031044504.8398"/>
    <n v="2018213960682.3101"/>
    <n v="3.1059437066831338E-2"/>
    <n v="9.0761098746096461E-2"/>
    <n v="8.927507525937356E-2"/>
  </r>
  <r>
    <x v="1"/>
    <x v="3"/>
    <x v="1"/>
    <n v="12117507942537.48"/>
    <n v="789150692653.77002"/>
    <n v="1323789759490.21"/>
    <n v="1423416156020.9299"/>
    <n v="6.5124833950677571E-2"/>
    <n v="0.16339851199005345"/>
    <n v="0.10924604017325697"/>
  </r>
  <r>
    <x v="1"/>
    <x v="3"/>
    <x v="3"/>
    <n v="2555078876542.3501"/>
    <n v="53070808243.449997"/>
    <n v="147646675703.63"/>
    <n v="8870481391.9099998"/>
    <n v="2.0770712298035923E-2"/>
    <n v="2.4158546440739871E-2"/>
    <n v="5.7785564688097715E-2"/>
  </r>
  <r>
    <x v="1"/>
    <x v="4"/>
    <x v="0"/>
    <n v="5417687070450.0801"/>
    <n v="183611653220.41"/>
    <n v="434974100891.03003"/>
    <n v="279647830582.13"/>
    <n v="3.3891151488222866E-2"/>
    <n v="8.1311611806181405E-2"/>
    <n v="8.0287786140976591E-2"/>
  </r>
  <r>
    <x v="1"/>
    <x v="4"/>
    <x v="1"/>
    <n v="14811224039941.66"/>
    <n v="605399320022.64001"/>
    <n v="874198009723.63"/>
    <n v="478158880232.15997"/>
    <n v="4.0874361118976403E-2"/>
    <n v="7.0869975976929844E-2"/>
    <n v="5.9022671412313155E-2"/>
  </r>
  <r>
    <x v="1"/>
    <x v="4"/>
    <x v="2"/>
    <n v="940918165"/>
    <n v="90203629"/>
    <n v="90203629"/>
    <n v="815233714.84000003"/>
    <n v="9.5867666663657189E-2"/>
    <n v="0.51558031753067557"/>
    <n v="9.5867666663657189E-2"/>
  </r>
  <r>
    <x v="1"/>
    <x v="4"/>
    <x v="3"/>
    <n v="1151169043400.1099"/>
    <n v="30611897614.18"/>
    <n v="49191488792.900002"/>
    <n v="13026916613.32"/>
    <n v="2.659200904479176E-2"/>
    <n v="3.7484079765228349E-2"/>
    <n v="4.2731768261946391E-2"/>
  </r>
  <r>
    <x v="1"/>
    <x v="5"/>
    <x v="0"/>
    <n v="117136460998646.69"/>
    <n v="3785356895829.4902"/>
    <n v="7874756021271.9805"/>
    <n v="3315457517617.79"/>
    <n v="3.2315786763211361E-2"/>
    <n v="5.8951443039808996E-2"/>
    <n v="6.7227197698613753E-2"/>
  </r>
  <r>
    <x v="1"/>
    <x v="5"/>
    <x v="1"/>
    <n v="38075118983258.086"/>
    <n v="3681962881877.1006"/>
    <n v="5646716630563.2598"/>
    <n v="3795023013695.1899"/>
    <n v="9.6702596871623359E-2"/>
    <n v="0.17857560397374247"/>
    <n v="0.14830463518830139"/>
  </r>
  <r>
    <x v="1"/>
    <x v="5"/>
    <x v="2"/>
    <n v="533065889007.67999"/>
    <n v="75736768388.349991"/>
    <n v="93360559827.809998"/>
    <n v="104951299670.33"/>
    <n v="0.14207768673650553"/>
    <n v="0.2832025081221885"/>
    <n v="0.17513887448623622"/>
  </r>
  <r>
    <x v="1"/>
    <x v="5"/>
    <x v="3"/>
    <n v="21619826257283.5"/>
    <n v="595890638843.80005"/>
    <n v="1083656091284.5801"/>
    <n v="293170124117.25"/>
    <n v="2.7562230692906264E-2"/>
    <n v="4.057230455784059E-2"/>
    <n v="5.012325623659937E-2"/>
  </r>
  <r>
    <x v="2"/>
    <x v="0"/>
    <x v="0"/>
    <n v="31784162798487.121"/>
    <n v="404615196416.83997"/>
    <n v="1353822030770.9399"/>
    <n v="1225288540371.55"/>
    <n v="1.2730088219787845E-2"/>
    <n v="4.9376880580552701E-2"/>
    <n v="4.2594232837096464E-2"/>
  </r>
  <r>
    <x v="2"/>
    <x v="0"/>
    <x v="1"/>
    <n v="27829456673211.961"/>
    <n v="2652479536783.7598"/>
    <n v="3495300239103.7793"/>
    <n v="1391459840316.28"/>
    <n v="9.531194115395647E-2"/>
    <n v="0.13839194178689912"/>
    <n v="0.12559714263010677"/>
  </r>
  <r>
    <x v="2"/>
    <x v="0"/>
    <x v="2"/>
    <n v="1507949.77"/>
    <n v="1507949.77"/>
    <n v="1507949.77"/>
    <n v="95960439.340000004"/>
    <n v="1"/>
    <n v="1"/>
    <n v="1"/>
  </r>
  <r>
    <x v="2"/>
    <x v="0"/>
    <x v="3"/>
    <n v="14992703471712.99"/>
    <n v="370437654446.34003"/>
    <n v="947131069937.99011"/>
    <n v="143267596861.85999"/>
    <n v="2.470786240421893E-2"/>
    <n v="3.3939365302748874E-2"/>
    <n v="6.3172800804401935E-2"/>
  </r>
  <r>
    <x v="2"/>
    <x v="1"/>
    <x v="0"/>
    <n v="49109143587711.82"/>
    <n v="2360220410801.04"/>
    <n v="6211382767325.1992"/>
    <n v="3230616112212.3999"/>
    <n v="4.8060712086855015E-2"/>
    <n v="0.10681815421138692"/>
    <n v="0.12648118687370924"/>
  </r>
  <r>
    <x v="2"/>
    <x v="1"/>
    <x v="1"/>
    <n v="23586616925023.578"/>
    <n v="1937236105367.22"/>
    <n v="3327878578828.3696"/>
    <n v="9026111266406.2207"/>
    <n v="8.2132851503259122E-2"/>
    <n v="0.33616774737215843"/>
    <n v="0.14109181445592342"/>
  </r>
  <r>
    <x v="2"/>
    <x v="1"/>
    <x v="2"/>
    <n v="311541182.19"/>
    <n v="112341556.75"/>
    <n v="152141012.99000001"/>
    <n v="19391966359.52"/>
    <n v="0.36059937874115827"/>
    <n v="0.9898901439239528"/>
    <n v="0.48834960412140177"/>
  </r>
  <r>
    <x v="2"/>
    <x v="1"/>
    <x v="3"/>
    <n v="33240823729922.828"/>
    <n v="1544293550817.79"/>
    <n v="3018849147904.0903"/>
    <n v="446738807394.81"/>
    <n v="4.6457740137999137E-2"/>
    <n v="5.9102891638628349E-2"/>
    <n v="9.0817519217689338E-2"/>
  </r>
  <r>
    <x v="2"/>
    <x v="2"/>
    <x v="0"/>
    <n v="55820573381123.523"/>
    <n v="2032424731000.45"/>
    <n v="4921164040291.4199"/>
    <n v="2264448059071.48"/>
    <n v="3.6409957975955538E-2"/>
    <n v="7.3975573797386632E-2"/>
    <n v="8.8160399333260475E-2"/>
  </r>
  <r>
    <x v="2"/>
    <x v="2"/>
    <x v="1"/>
    <n v="19742689706823.219"/>
    <n v="1423723448267.0598"/>
    <n v="2272348624197.8101"/>
    <n v="4553145149275.8896"/>
    <n v="7.2113955565791546E-2"/>
    <n v="0.24600383699276523"/>
    <n v="0.11509822916441166"/>
  </r>
  <r>
    <x v="2"/>
    <x v="2"/>
    <x v="2"/>
    <n v="757004052.95000005"/>
    <n v="729449529.56000006"/>
    <n v="757004052.95000005"/>
    <n v="127794832083"/>
    <n v="0.96360056028416008"/>
    <n v="0.99978565437711164"/>
    <n v="1"/>
  </r>
  <r>
    <x v="2"/>
    <x v="2"/>
    <x v="3"/>
    <n v="10774825215438.289"/>
    <n v="343331049617.16998"/>
    <n v="540228432978.25"/>
    <n v="34079539218"/>
    <n v="3.1864187376816233E-2"/>
    <n v="3.4916635626064521E-2"/>
    <n v="5.0138022861308668E-2"/>
  </r>
  <r>
    <x v="2"/>
    <x v="3"/>
    <x v="0"/>
    <n v="33138645951060.988"/>
    <n v="1027678348430.6801"/>
    <n v="3425339871783.5103"/>
    <n v="2108940650508.3601"/>
    <n v="3.1011476749784862E-2"/>
    <n v="8.8988191855364829E-2"/>
    <n v="0.10336390559958417"/>
  </r>
  <r>
    <x v="2"/>
    <x v="3"/>
    <x v="1"/>
    <n v="12821028973517.631"/>
    <n v="511358644936.84003"/>
    <n v="1254093446715.4199"/>
    <n v="1982765355289.1399"/>
    <n v="3.9884368563012577E-2"/>
    <n v="0.16847869842211011"/>
    <n v="9.7815350804198495E-2"/>
  </r>
  <r>
    <x v="2"/>
    <x v="3"/>
    <x v="3"/>
    <n v="3034060322703.9199"/>
    <n v="58780996347.5"/>
    <n v="189996889468.97"/>
    <n v="10524033043.99"/>
    <n v="1.9373707209326362E-2"/>
    <n v="2.2763379592570049E-2"/>
    <n v="6.2621328932460696E-2"/>
  </r>
  <r>
    <x v="2"/>
    <x v="4"/>
    <x v="0"/>
    <n v="5564687771880.96"/>
    <n v="137944483228.73999"/>
    <n v="290786119322.42004"/>
    <n v="338796412096.73999"/>
    <n v="2.478925842448702E-2"/>
    <n v="8.0755852047401849E-2"/>
    <n v="5.2255603772020681E-2"/>
  </r>
  <r>
    <x v="2"/>
    <x v="4"/>
    <x v="1"/>
    <n v="14714709578678.461"/>
    <n v="540958608345.08002"/>
    <n v="773281730000.35999"/>
    <n v="587981854028.78003"/>
    <n v="3.6763118256097037E-2"/>
    <n v="7.3773980697337774E-2"/>
    <n v="5.2551613463091465E-2"/>
  </r>
  <r>
    <x v="2"/>
    <x v="4"/>
    <x v="2"/>
    <n v="240804062"/>
    <n v="50625952"/>
    <n v="50625952"/>
    <n v="699345823.84000003"/>
    <n v="0.21023711801007741"/>
    <n v="0.79771511663793837"/>
    <n v="0.21023711801007741"/>
  </r>
  <r>
    <x v="2"/>
    <x v="4"/>
    <x v="3"/>
    <n v="1025966969516.0601"/>
    <n v="33547120969.77"/>
    <n v="47079991495.25"/>
    <n v="12745566705.5"/>
    <n v="3.26980516591035E-2"/>
    <n v="4.456737168462907E-2"/>
    <n v="4.588840858829718E-2"/>
  </r>
  <r>
    <x v="2"/>
    <x v="5"/>
    <x v="0"/>
    <n v="124546574246021.66"/>
    <n v="4515787235712.4297"/>
    <n v="9843064191559.8906"/>
    <n v="3529289901095.0801"/>
    <n v="3.6257819719651391E-2"/>
    <n v="6.2814935432068467E-2"/>
    <n v="7.903119175415059E-2"/>
  </r>
  <r>
    <x v="2"/>
    <x v="5"/>
    <x v="1"/>
    <n v="36510318730157.57"/>
    <n v="2943316209359.6797"/>
    <n v="5736510032476.1797"/>
    <n v="4548958683199.5898"/>
    <n v="8.0616009712577416E-2"/>
    <n v="0.18247459196936397"/>
    <n v="0.15712023975670789"/>
  </r>
  <r>
    <x v="2"/>
    <x v="5"/>
    <x v="2"/>
    <n v="644378364153.52002"/>
    <n v="49297287411.080002"/>
    <n v="67931505269.059998"/>
    <n v="113498980787.75999"/>
    <n v="7.6503635369320325E-2"/>
    <n v="0.21480556093341643"/>
    <n v="0.10542176622937582"/>
  </r>
  <r>
    <x v="2"/>
    <x v="5"/>
    <x v="3"/>
    <n v="24956675588425.781"/>
    <n v="773016266842.12"/>
    <n v="1542846932024.2"/>
    <n v="308421956128.03003"/>
    <n v="3.0974328455855061E-2"/>
    <n v="4.2803643289446421E-2"/>
    <n v="6.18210116390554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B000000}" name="Cartera 2" cacheId="434" applyNumberFormats="0" applyBorderFormats="0" applyFontFormats="0" applyPatternFormats="0" applyAlignmentFormats="0" applyWidthHeightFormats="0" dataCaption="" updatedVersion="8" compact="0" compactData="0">
  <location ref="A127:E133" firstHeaderRow="1" firstDataRow="2" firstDataCol="1" rowPageCount="1" colPageCount="1"/>
  <pivotFields count="10">
    <pivotField name="Año" axis="axisCol" compact="0" numFmtId="1" outline="0" multipleItemSelectionAllowed="1" showAll="0" sortType="ascending">
      <items count="4">
        <item x="0"/>
        <item x="1"/>
        <item x="2"/>
        <item t="default"/>
      </items>
    </pivotField>
    <pivotField name="Banco" axis="axisPage" compact="0" outline="0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name="Modalidad De Credito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Saldo Bruto" compact="0" numFmtId="165" outline="0" multipleItemSelectionAllowed="1" showAll="0"/>
    <pivotField name="Saldo Mora" compact="0" numFmtId="165" outline="0" multipleItemSelectionAllowed="1" showAll="0"/>
    <pivotField name="Saldo Riesgo" compact="0" numFmtId="165" outline="0" multipleItemSelectionAllowed="1" showAll="0"/>
    <pivotField name="Saldo castigado" compact="0" numFmtId="165" outline="0" multipleItemSelectionAllowed="1" showAll="0"/>
    <pivotField name="Indicador mora" dataField="1" compact="0" numFmtId="166" outline="0" multipleItemSelectionAllowed="1" showAll="0"/>
    <pivotField name="Indicador mora + castigo" compact="0" numFmtId="166" outline="0" multipleItemSelectionAllowed="1" showAll="0"/>
    <pivotField name="Indicador riesgo" compact="0" numFmtId="166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0"/>
  </pageFields>
  <dataFields count="1">
    <dataField name="Suma de Indicador mora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A000000}" name="Cartera 3" cacheId="434" applyNumberFormats="0" applyBorderFormats="0" applyFontFormats="0" applyPatternFormats="0" applyAlignmentFormats="0" applyWidthHeightFormats="0" dataCaption="" updatedVersion="8" compact="0" compactData="0">
  <location ref="A143:E149" firstHeaderRow="1" firstDataRow="2" firstDataCol="1" rowPageCount="1" colPageCount="1"/>
  <pivotFields count="10">
    <pivotField name="Año" axis="axisCol" compact="0" numFmtId="1" outline="0" multipleItemSelectionAllowed="1" showAll="0" sortType="ascending">
      <items count="4">
        <item x="0"/>
        <item x="1"/>
        <item x="2"/>
        <item t="default"/>
      </items>
    </pivotField>
    <pivotField name="Banco" axis="axisPage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Modalidad De Credito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Saldo Bruto" dataField="1" compact="0" numFmtId="165" outline="0" multipleItemSelectionAllowed="1" showAll="0"/>
    <pivotField name="Saldo Mora" compact="0" numFmtId="165" outline="0" multipleItemSelectionAllowed="1" showAll="0"/>
    <pivotField name="Saldo Riesgo" compact="0" numFmtId="165" outline="0" multipleItemSelectionAllowed="1" showAll="0"/>
    <pivotField name="Saldo castigado" compact="0" numFmtId="165" outline="0" multipleItemSelectionAllowed="1" showAll="0"/>
    <pivotField name="Indicador mora" compact="0" numFmtId="166" outline="0" multipleItemSelectionAllowed="1" showAll="0"/>
    <pivotField name="Indicador mora + castigo" compact="0" numFmtId="166" outline="0" multipleItemSelectionAllowed="1" showAll="0"/>
    <pivotField name="Indicador riesgo" compact="0" numFmtId="166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0"/>
  </pageFields>
  <dataFields count="1">
    <dataField name="Suma de Saldo Bruto" fld="3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9000000}" name="Cartera 4" cacheId="434" applyNumberFormats="0" applyBorderFormats="0" applyFontFormats="0" applyPatternFormats="0" applyAlignmentFormats="0" applyWidthHeightFormats="0" dataCaption="" updatedVersion="8" compact="0" compactData="0">
  <location ref="A166:E172" firstHeaderRow="1" firstDataRow="2" firstDataCol="1" rowPageCount="1" colPageCount="1"/>
  <pivotFields count="10">
    <pivotField name="Año" axis="axisCol" compact="0" numFmtId="1" outline="0" multipleItemSelectionAllowed="1" showAll="0" sortType="ascending">
      <items count="4">
        <item x="0"/>
        <item x="1"/>
        <item x="2"/>
        <item t="default"/>
      </items>
    </pivotField>
    <pivotField name="Banco" axis="axisPage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Modalidad De Credito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Saldo Bruto" compact="0" numFmtId="165" outline="0" multipleItemSelectionAllowed="1" showAll="0"/>
    <pivotField name="Saldo Mora" compact="0" numFmtId="165" outline="0" multipleItemSelectionAllowed="1" showAll="0"/>
    <pivotField name="Saldo Riesgo" compact="0" numFmtId="165" outline="0" multipleItemSelectionAllowed="1" showAll="0"/>
    <pivotField name="Saldo castigado" compact="0" numFmtId="165" outline="0" multipleItemSelectionAllowed="1" showAll="0"/>
    <pivotField name="Indicador mora" dataField="1" compact="0" numFmtId="166" outline="0" multipleItemSelectionAllowed="1" showAll="0"/>
    <pivotField name="Indicador mora + castigo" compact="0" numFmtId="166" outline="0" multipleItemSelectionAllowed="1" showAll="0"/>
    <pivotField name="Indicador riesgo" compact="0" numFmtId="166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0"/>
  </pageFields>
  <dataFields count="1">
    <dataField name="Promedio de Indicador mora" fld="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C000000}" name="Cartera" cacheId="434" applyNumberFormats="0" applyBorderFormats="0" applyFontFormats="0" applyPatternFormats="0" applyAlignmentFormats="0" applyWidthHeightFormats="0" dataCaption="" updatedVersion="8" compact="0" compactData="0">
  <location ref="A103:E109" firstHeaderRow="1" firstDataRow="2" firstDataCol="1" rowPageCount="1" colPageCount="1"/>
  <pivotFields count="10">
    <pivotField name="Año" axis="axisCol" compact="0" numFmtId="1" outline="0" multipleItemSelectionAllowed="1" showAll="0" sortType="ascending">
      <items count="4">
        <item x="0"/>
        <item x="1"/>
        <item x="2"/>
        <item t="default"/>
      </items>
    </pivotField>
    <pivotField name="Banco" axis="axisPage" compact="0" outline="0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name="Modalidad De Credito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  <pivotField name="Saldo Bruto" dataField="1" compact="0" numFmtId="165" outline="0" multipleItemSelectionAllowed="1" showAll="0"/>
    <pivotField name="Saldo Mora" compact="0" numFmtId="165" outline="0" multipleItemSelectionAllowed="1" showAll="0"/>
    <pivotField name="Saldo Riesgo" compact="0" numFmtId="165" outline="0" multipleItemSelectionAllowed="1" showAll="0"/>
    <pivotField name="Saldo castigado" compact="0" numFmtId="165" outline="0" multipleItemSelectionAllowed="1" showAll="0"/>
    <pivotField name="Indicador mora" compact="0" numFmtId="166" outline="0" multipleItemSelectionAllowed="1" showAll="0"/>
    <pivotField name="Indicador mora + castigo" compact="0" numFmtId="166" outline="0" multipleItemSelectionAllowed="1" showAll="0"/>
    <pivotField name="Indicador riesgo" compact="0" numFmtId="166" outline="0" multipleItemSelectionAllowe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1" hier="0"/>
  </pageFields>
  <dataFields count="1">
    <dataField name="Suma de Saldo Bruto" fld="3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showGridLines="0" tabSelected="1" workbookViewId="0">
      <pane xSplit="1" topLeftCell="C10" activePane="topRight" state="frozen"/>
      <selection pane="topRight" activeCell="L16" sqref="L16"/>
    </sheetView>
  </sheetViews>
  <sheetFormatPr defaultColWidth="14.42578125" defaultRowHeight="15" customHeight="1"/>
  <cols>
    <col min="1" max="1" width="25.85546875" hidden="1" customWidth="1"/>
    <col min="2" max="2" width="18.85546875" hidden="1" customWidth="1"/>
    <col min="3" max="3" width="24.140625" customWidth="1"/>
    <col min="4" max="4" width="16.140625" customWidth="1"/>
    <col min="5" max="5" width="19.85546875" customWidth="1"/>
    <col min="6" max="7" width="16.140625" customWidth="1"/>
    <col min="8" max="9" width="19.140625" customWidth="1"/>
    <col min="10" max="11" width="14.42578125" customWidth="1"/>
    <col min="12" max="12" width="13.85546875" customWidth="1"/>
    <col min="13" max="13" width="13.5703125" customWidth="1"/>
    <col min="14" max="14" width="14.140625" customWidth="1"/>
    <col min="15" max="15" width="14.85546875" customWidth="1"/>
    <col min="16" max="17" width="14.42578125" customWidth="1"/>
    <col min="18" max="19" width="14.85546875" customWidth="1"/>
    <col min="20" max="22" width="12" customWidth="1"/>
    <col min="23" max="25" width="13.140625" customWidth="1"/>
    <col min="26" max="28" width="11.85546875" customWidth="1"/>
    <col min="29" max="31" width="12.140625" customWidth="1"/>
    <col min="32" max="34" width="11.85546875" customWidth="1"/>
    <col min="35" max="35" width="14.85546875" customWidth="1"/>
    <col min="36" max="36" width="15.42578125" customWidth="1"/>
    <col min="37" max="37" width="14.42578125" customWidth="1"/>
    <col min="38" max="40" width="11.85546875" customWidth="1"/>
    <col min="41" max="41" width="14.85546875" customWidth="1"/>
    <col min="42" max="42" width="14.5703125" customWidth="1"/>
    <col min="43" max="43" width="14.42578125" customWidth="1"/>
    <col min="44" max="44" width="10.7109375" customWidth="1"/>
  </cols>
  <sheetData>
    <row r="1" spans="1:43" ht="18" customHeight="1">
      <c r="A1" s="2"/>
      <c r="B1" s="2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8" customHeight="1">
      <c r="A2" s="193" t="s">
        <v>2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78"/>
    </row>
    <row r="3" spans="1:43" ht="18" customHeight="1">
      <c r="A3" s="193" t="s">
        <v>3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78"/>
    </row>
    <row r="4" spans="1:43" ht="18" customHeight="1">
      <c r="A4" s="195" t="s">
        <v>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79"/>
    </row>
    <row r="5" spans="1:43" ht="14.25" customHeight="1">
      <c r="A5" s="196" t="s">
        <v>5</v>
      </c>
      <c r="B5" s="186" t="s">
        <v>6</v>
      </c>
      <c r="C5" s="2"/>
      <c r="D5" s="198" t="s">
        <v>7</v>
      </c>
      <c r="E5" s="192"/>
      <c r="F5" s="192"/>
      <c r="G5" s="192"/>
      <c r="H5" s="192"/>
      <c r="I5" s="192"/>
      <c r="J5" s="199"/>
      <c r="K5" s="104"/>
      <c r="L5" s="188" t="s">
        <v>8</v>
      </c>
      <c r="M5" s="189"/>
      <c r="N5" s="189"/>
      <c r="O5" s="189"/>
      <c r="P5" s="189"/>
      <c r="Q5" s="189"/>
      <c r="R5" s="190"/>
      <c r="S5" s="104"/>
      <c r="T5" s="200" t="s">
        <v>9</v>
      </c>
      <c r="U5" s="189"/>
      <c r="V5" s="189"/>
      <c r="W5" s="189"/>
      <c r="X5" s="189"/>
      <c r="Y5" s="190"/>
      <c r="Z5" s="201" t="s">
        <v>10</v>
      </c>
      <c r="AA5" s="189"/>
      <c r="AB5" s="189"/>
      <c r="AC5" s="189"/>
      <c r="AD5" s="189"/>
      <c r="AE5" s="190"/>
      <c r="AF5" s="188" t="s">
        <v>11</v>
      </c>
      <c r="AG5" s="189"/>
      <c r="AH5" s="189"/>
      <c r="AI5" s="189"/>
      <c r="AJ5" s="189"/>
      <c r="AK5" s="190"/>
      <c r="AL5" s="191" t="s">
        <v>12</v>
      </c>
      <c r="AM5" s="192"/>
      <c r="AN5" s="192"/>
      <c r="AO5" s="192"/>
      <c r="AP5" s="192"/>
      <c r="AQ5" s="111"/>
    </row>
    <row r="6" spans="1:43" ht="18" customHeight="1">
      <c r="A6" s="197"/>
      <c r="B6" s="194"/>
      <c r="C6" s="101" t="s">
        <v>13</v>
      </c>
      <c r="D6" s="10">
        <v>2020</v>
      </c>
      <c r="E6" s="11">
        <v>2021</v>
      </c>
      <c r="F6" s="11">
        <v>2022</v>
      </c>
      <c r="G6" s="11">
        <v>2023</v>
      </c>
      <c r="H6" s="11">
        <v>2024</v>
      </c>
      <c r="I6" s="103">
        <v>45809</v>
      </c>
      <c r="J6" s="103">
        <v>45992</v>
      </c>
      <c r="K6" s="103">
        <v>46174</v>
      </c>
      <c r="L6" s="13">
        <v>2020</v>
      </c>
      <c r="M6" s="14">
        <v>2021</v>
      </c>
      <c r="N6" s="14">
        <v>2022</v>
      </c>
      <c r="O6" s="14">
        <v>2023</v>
      </c>
      <c r="P6" s="14">
        <v>2024</v>
      </c>
      <c r="Q6" s="106">
        <v>45809</v>
      </c>
      <c r="R6" s="106">
        <v>45992</v>
      </c>
      <c r="S6" s="106">
        <v>46174</v>
      </c>
      <c r="T6" s="16">
        <v>2020</v>
      </c>
      <c r="U6" s="17">
        <v>2021</v>
      </c>
      <c r="V6" s="17">
        <v>2022</v>
      </c>
      <c r="W6" s="17">
        <v>2023</v>
      </c>
      <c r="X6" s="17">
        <v>2024</v>
      </c>
      <c r="Y6" s="17">
        <v>2025</v>
      </c>
      <c r="Z6" s="10">
        <v>2020</v>
      </c>
      <c r="AA6" s="11">
        <v>2021</v>
      </c>
      <c r="AB6" s="11">
        <v>2022</v>
      </c>
      <c r="AC6" s="11">
        <v>2023</v>
      </c>
      <c r="AD6" s="11">
        <v>2024</v>
      </c>
      <c r="AE6" s="11">
        <v>2025</v>
      </c>
      <c r="AF6" s="13">
        <v>2020</v>
      </c>
      <c r="AG6" s="14">
        <v>2021</v>
      </c>
      <c r="AH6" s="14">
        <v>2022</v>
      </c>
      <c r="AI6" s="14">
        <v>2023</v>
      </c>
      <c r="AJ6" s="14">
        <v>2024</v>
      </c>
      <c r="AK6" s="14">
        <v>2025</v>
      </c>
      <c r="AL6" s="16">
        <v>2020</v>
      </c>
      <c r="AM6" s="17">
        <v>2021</v>
      </c>
      <c r="AN6" s="17">
        <v>2022</v>
      </c>
      <c r="AO6" s="17">
        <v>2023</v>
      </c>
      <c r="AP6" s="17">
        <v>2024</v>
      </c>
      <c r="AQ6" s="17">
        <v>2025</v>
      </c>
    </row>
    <row r="7" spans="1:43" ht="18" customHeight="1">
      <c r="A7" s="112" t="s">
        <v>14</v>
      </c>
      <c r="B7" s="113" t="s">
        <v>15</v>
      </c>
      <c r="C7" s="113" t="s">
        <v>16</v>
      </c>
      <c r="D7" s="22">
        <v>185362980.29000002</v>
      </c>
      <c r="E7" s="114">
        <v>208960068.64000002</v>
      </c>
      <c r="F7" s="114">
        <v>245765720.85000002</v>
      </c>
      <c r="G7" s="100">
        <v>253130890.24539101</v>
      </c>
      <c r="H7" s="100">
        <v>263866245.05458999</v>
      </c>
      <c r="I7" s="100">
        <v>254050648</v>
      </c>
      <c r="J7" s="100">
        <v>266149642</v>
      </c>
      <c r="K7" s="100">
        <v>289667759</v>
      </c>
      <c r="L7" s="22">
        <v>159714655.19000003</v>
      </c>
      <c r="M7" s="114">
        <v>177192620.74000001</v>
      </c>
      <c r="N7" s="114">
        <v>207023941.36000001</v>
      </c>
      <c r="O7" s="100">
        <v>216049221.99638599</v>
      </c>
      <c r="P7" s="100">
        <v>221594924.12424701</v>
      </c>
      <c r="Q7" s="100">
        <v>231313519</v>
      </c>
      <c r="R7" s="100">
        <v>240357687</v>
      </c>
      <c r="S7" s="100">
        <v>262932017</v>
      </c>
      <c r="T7" s="22">
        <v>25648325.099999998</v>
      </c>
      <c r="U7" s="114">
        <v>31767447.899999999</v>
      </c>
      <c r="V7" s="114">
        <v>38741779.489999995</v>
      </c>
      <c r="W7" s="100">
        <v>37081668.249006003</v>
      </c>
      <c r="X7" s="100">
        <v>42271320.930344</v>
      </c>
      <c r="Y7" s="100">
        <v>25791955</v>
      </c>
      <c r="Z7" s="22">
        <v>3356380.61</v>
      </c>
      <c r="AA7" s="114">
        <v>903959.24</v>
      </c>
      <c r="AB7" s="114">
        <v>4149703.58</v>
      </c>
      <c r="AC7" s="100">
        <v>6932965.159159</v>
      </c>
      <c r="AD7" s="100">
        <v>5979730.2946210001</v>
      </c>
      <c r="AE7" s="100">
        <v>5578220</v>
      </c>
      <c r="AF7" s="22">
        <v>1240065.8500000001</v>
      </c>
      <c r="AG7" s="114">
        <v>2657756.37</v>
      </c>
      <c r="AH7" s="114">
        <v>5954628.0199999996</v>
      </c>
      <c r="AI7" s="100">
        <v>5242852.2097389996</v>
      </c>
      <c r="AJ7" s="100">
        <v>4929782.5414169999</v>
      </c>
      <c r="AK7" s="100">
        <v>5687421</v>
      </c>
      <c r="AL7" s="22">
        <v>903959.24</v>
      </c>
      <c r="AM7" s="114">
        <v>4149703.58</v>
      </c>
      <c r="AN7" s="114">
        <v>6932965.1600000001</v>
      </c>
      <c r="AO7" s="100">
        <v>5979730.2946210001</v>
      </c>
      <c r="AP7" s="100">
        <v>5578220.1324730003</v>
      </c>
      <c r="AQ7" s="24">
        <v>6368547</v>
      </c>
    </row>
    <row r="8" spans="1:43" ht="18" customHeight="1">
      <c r="A8" s="112" t="s">
        <v>14</v>
      </c>
      <c r="B8" s="113" t="s">
        <v>15</v>
      </c>
      <c r="C8" s="113" t="s">
        <v>17</v>
      </c>
      <c r="D8" s="22">
        <v>105873493.57999998</v>
      </c>
      <c r="E8" s="114">
        <v>108630494.56999999</v>
      </c>
      <c r="F8" s="114">
        <v>110357041.04999998</v>
      </c>
      <c r="G8" s="100">
        <v>116965918.52097499</v>
      </c>
      <c r="H8" s="100">
        <v>126657894.60333</v>
      </c>
      <c r="I8" s="100">
        <v>129828693</v>
      </c>
      <c r="J8" s="100">
        <v>136304038</v>
      </c>
      <c r="K8" s="100">
        <v>138876206</v>
      </c>
      <c r="L8" s="22">
        <v>85316339.189999983</v>
      </c>
      <c r="M8" s="114">
        <v>83918259.429999992</v>
      </c>
      <c r="N8" s="114">
        <v>95306865.109999985</v>
      </c>
      <c r="O8" s="100">
        <v>101888783.14100701</v>
      </c>
      <c r="P8" s="100">
        <v>110518857.864316</v>
      </c>
      <c r="Q8" s="100">
        <v>113700855</v>
      </c>
      <c r="R8" s="100">
        <v>119714972</v>
      </c>
      <c r="S8" s="100">
        <v>124849145</v>
      </c>
      <c r="T8" s="22">
        <v>20557154.390000001</v>
      </c>
      <c r="U8" s="114">
        <v>24712235.140000001</v>
      </c>
      <c r="V8" s="114">
        <v>15050175.940000001</v>
      </c>
      <c r="W8" s="100">
        <v>15077135.379968001</v>
      </c>
      <c r="X8" s="100">
        <v>16139036.739014</v>
      </c>
      <c r="Y8" s="100">
        <v>16589067</v>
      </c>
      <c r="Z8" s="22">
        <v>2640865.98</v>
      </c>
      <c r="AA8" s="114">
        <v>2211058.8199999998</v>
      </c>
      <c r="AB8" s="114">
        <v>4385556.42</v>
      </c>
      <c r="AC8" s="100">
        <v>2251716.382191</v>
      </c>
      <c r="AD8" s="100">
        <v>1024883.921583</v>
      </c>
      <c r="AE8" s="100">
        <v>1128549</v>
      </c>
      <c r="AF8" s="22">
        <v>1914541.19</v>
      </c>
      <c r="AG8" s="114">
        <v>4127481.09</v>
      </c>
      <c r="AH8" s="114">
        <v>2988637.89</v>
      </c>
      <c r="AI8" s="100">
        <v>1010524.3818720001</v>
      </c>
      <c r="AJ8" s="100">
        <v>1101111.7717780001</v>
      </c>
      <c r="AK8" s="100">
        <v>1193691</v>
      </c>
      <c r="AL8" s="22">
        <v>2211058.8199999998</v>
      </c>
      <c r="AM8" s="114">
        <v>4385556.42</v>
      </c>
      <c r="AN8" s="114">
        <v>2251716.38</v>
      </c>
      <c r="AO8" s="100">
        <v>1024883.921583</v>
      </c>
      <c r="AP8" s="100">
        <v>1128549.4205380001</v>
      </c>
      <c r="AQ8" s="24">
        <v>1259998</v>
      </c>
    </row>
    <row r="9" spans="1:43" ht="18" customHeight="1">
      <c r="A9" s="112" t="s">
        <v>14</v>
      </c>
      <c r="B9" s="113" t="s">
        <v>15</v>
      </c>
      <c r="C9" s="113" t="s">
        <v>18</v>
      </c>
      <c r="D9" s="22">
        <v>106532321.30999999</v>
      </c>
      <c r="E9" s="114">
        <v>117331754.73999999</v>
      </c>
      <c r="F9" s="114">
        <v>137220383.60999998</v>
      </c>
      <c r="G9" s="100">
        <v>138671294.09360999</v>
      </c>
      <c r="H9" s="100">
        <v>144328337.18827301</v>
      </c>
      <c r="I9" s="100">
        <v>145459593</v>
      </c>
      <c r="J9" s="100">
        <v>153438501</v>
      </c>
      <c r="K9" s="100">
        <v>161302944</v>
      </c>
      <c r="L9" s="22">
        <v>95176454.549999982</v>
      </c>
      <c r="M9" s="114">
        <v>104517114.56</v>
      </c>
      <c r="N9" s="114">
        <v>122758059.41999999</v>
      </c>
      <c r="O9" s="100">
        <v>125633974.95099901</v>
      </c>
      <c r="P9" s="100">
        <v>129684307.11663599</v>
      </c>
      <c r="Q9" s="100">
        <v>130670890</v>
      </c>
      <c r="R9" s="100">
        <v>138418339</v>
      </c>
      <c r="S9" s="100">
        <v>145673575</v>
      </c>
      <c r="T9" s="22">
        <v>11355866.76</v>
      </c>
      <c r="U9" s="114">
        <v>12814640.18</v>
      </c>
      <c r="V9" s="114">
        <v>14462324.190000001</v>
      </c>
      <c r="W9" s="100">
        <v>13037319.142611001</v>
      </c>
      <c r="X9" s="100">
        <v>14644030.071637999</v>
      </c>
      <c r="Y9" s="100">
        <v>15041882</v>
      </c>
      <c r="Z9" s="22">
        <v>1316202.51</v>
      </c>
      <c r="AA9" s="114">
        <v>223808.89</v>
      </c>
      <c r="AB9" s="114">
        <v>1176188.8600000001</v>
      </c>
      <c r="AC9" s="100">
        <v>1140432.1519319999</v>
      </c>
      <c r="AD9" s="100">
        <v>105939.481713</v>
      </c>
      <c r="AE9" s="100">
        <v>852725</v>
      </c>
      <c r="AF9" s="22">
        <v>250915.17</v>
      </c>
      <c r="AG9" s="114">
        <v>1085991.2</v>
      </c>
      <c r="AH9" s="114">
        <v>1127619.5900000001</v>
      </c>
      <c r="AI9" s="100">
        <v>61894.831449999998</v>
      </c>
      <c r="AJ9" s="100">
        <v>796990.78085400001</v>
      </c>
      <c r="AK9" s="100">
        <v>1507272</v>
      </c>
      <c r="AL9" s="27">
        <v>223808.89</v>
      </c>
      <c r="AM9" s="115">
        <v>1176188.8600000001</v>
      </c>
      <c r="AN9" s="115">
        <v>1140432.1499999999</v>
      </c>
      <c r="AO9" s="116">
        <v>105939.481713</v>
      </c>
      <c r="AP9" s="116">
        <v>852724.95471800002</v>
      </c>
      <c r="AQ9" s="28">
        <v>1832626</v>
      </c>
    </row>
    <row r="10" spans="1:43" ht="18" customHeight="1">
      <c r="A10" s="112" t="s">
        <v>14</v>
      </c>
      <c r="B10" s="113" t="s">
        <v>15</v>
      </c>
      <c r="C10" s="113" t="s">
        <v>19</v>
      </c>
      <c r="D10" s="22">
        <v>41329931.440000005</v>
      </c>
      <c r="E10" s="114">
        <v>47147802.460000001</v>
      </c>
      <c r="F10" s="114">
        <v>54637784.140000001</v>
      </c>
      <c r="G10" s="100">
        <v>64036522.144056</v>
      </c>
      <c r="H10" s="100">
        <v>72787280.170875996</v>
      </c>
      <c r="I10" s="100">
        <v>73295196</v>
      </c>
      <c r="J10" s="100">
        <v>82333846</v>
      </c>
      <c r="K10" s="100">
        <v>85706321</v>
      </c>
      <c r="L10" s="22">
        <v>36758578.640000008</v>
      </c>
      <c r="M10" s="114">
        <v>42477683.380000003</v>
      </c>
      <c r="N10" s="114">
        <v>49891625.969999999</v>
      </c>
      <c r="O10" s="100">
        <v>58864995.736123003</v>
      </c>
      <c r="P10" s="100">
        <v>67306143.743275002</v>
      </c>
      <c r="Q10" s="100">
        <v>67785316</v>
      </c>
      <c r="R10" s="100">
        <v>76627281</v>
      </c>
      <c r="S10" s="100">
        <v>80230432</v>
      </c>
      <c r="T10" s="22">
        <v>4571352.8</v>
      </c>
      <c r="U10" s="114">
        <v>4670119.08</v>
      </c>
      <c r="V10" s="114">
        <v>4746158.17</v>
      </c>
      <c r="W10" s="100">
        <v>5171526.4079329995</v>
      </c>
      <c r="X10" s="100">
        <v>5481136.4276010003</v>
      </c>
      <c r="Y10" s="100">
        <v>5706565</v>
      </c>
      <c r="Z10" s="22">
        <v>457780.86</v>
      </c>
      <c r="AA10" s="114">
        <v>320628.40000000002</v>
      </c>
      <c r="AB10" s="114">
        <v>492074.41</v>
      </c>
      <c r="AC10" s="100">
        <v>502643.21599499998</v>
      </c>
      <c r="AD10" s="100">
        <v>430603.22717799997</v>
      </c>
      <c r="AE10" s="100">
        <v>494992</v>
      </c>
      <c r="AF10" s="22">
        <v>313875.15000000002</v>
      </c>
      <c r="AG10" s="114">
        <v>431060.68</v>
      </c>
      <c r="AH10" s="114">
        <v>471953.17</v>
      </c>
      <c r="AI10" s="100">
        <v>352544.43999300001</v>
      </c>
      <c r="AJ10" s="100">
        <v>470916.80746799998</v>
      </c>
      <c r="AK10" s="100">
        <v>509135</v>
      </c>
      <c r="AL10" s="22">
        <v>320628.40000000002</v>
      </c>
      <c r="AM10" s="114">
        <v>492074.41</v>
      </c>
      <c r="AN10" s="114">
        <v>502643.22</v>
      </c>
      <c r="AO10" s="100">
        <v>430603.22717799997</v>
      </c>
      <c r="AP10" s="100">
        <v>494992.147872</v>
      </c>
      <c r="AQ10" s="24">
        <v>533656</v>
      </c>
    </row>
    <row r="11" spans="1:43" ht="18" customHeight="1">
      <c r="A11" s="112" t="s">
        <v>20</v>
      </c>
      <c r="B11" s="113" t="s">
        <v>21</v>
      </c>
      <c r="C11" s="113" t="s">
        <v>22</v>
      </c>
      <c r="D11" s="22">
        <v>68413201.410000011</v>
      </c>
      <c r="E11" s="114">
        <v>79516658.900000021</v>
      </c>
      <c r="F11" s="114">
        <v>99238481.379999995</v>
      </c>
      <c r="G11" s="100">
        <v>105426640.654374</v>
      </c>
      <c r="H11" s="100">
        <v>104985415.026223</v>
      </c>
      <c r="I11" s="100">
        <v>103128740</v>
      </c>
      <c r="J11" s="100">
        <v>108982165</v>
      </c>
      <c r="K11" s="100">
        <v>117694154</v>
      </c>
      <c r="L11" s="22">
        <v>63416879.650000013</v>
      </c>
      <c r="M11" s="114">
        <v>73829357.250000015</v>
      </c>
      <c r="N11" s="114">
        <v>93071570.780000001</v>
      </c>
      <c r="O11" s="100">
        <v>99490673.532704994</v>
      </c>
      <c r="P11" s="100">
        <v>98431112.082618997</v>
      </c>
      <c r="Q11" s="100">
        <v>96437735</v>
      </c>
      <c r="R11" s="100">
        <v>101959374</v>
      </c>
      <c r="S11" s="100">
        <v>110417886</v>
      </c>
      <c r="T11" s="22">
        <v>4996321.76</v>
      </c>
      <c r="U11" s="114">
        <v>5687301.6500000004</v>
      </c>
      <c r="V11" s="114">
        <v>6166910.6000000006</v>
      </c>
      <c r="W11" s="100">
        <v>5935967.121669</v>
      </c>
      <c r="X11" s="100">
        <v>6554302.9436039999</v>
      </c>
      <c r="Y11" s="100">
        <v>7022791</v>
      </c>
      <c r="Z11" s="22">
        <v>738369.05</v>
      </c>
      <c r="AA11" s="114">
        <v>469850.24</v>
      </c>
      <c r="AB11" s="114">
        <v>895242.03</v>
      </c>
      <c r="AC11" s="100">
        <v>933513.68710600003</v>
      </c>
      <c r="AD11" s="100">
        <v>194687.90111199999</v>
      </c>
      <c r="AE11" s="100">
        <v>-368949</v>
      </c>
      <c r="AF11" s="22">
        <v>452472.43</v>
      </c>
      <c r="AG11" s="114">
        <v>790927.2</v>
      </c>
      <c r="AH11" s="114">
        <v>972319.21</v>
      </c>
      <c r="AI11" s="100">
        <v>247354.70067200001</v>
      </c>
      <c r="AJ11" s="100">
        <v>-328839.39047599997</v>
      </c>
      <c r="AK11" s="100">
        <v>333266</v>
      </c>
      <c r="AL11" s="22">
        <v>469850.24</v>
      </c>
      <c r="AM11" s="114">
        <v>895242.03</v>
      </c>
      <c r="AN11" s="114">
        <v>933513.69</v>
      </c>
      <c r="AO11" s="100">
        <v>194687.90111199999</v>
      </c>
      <c r="AP11" s="100">
        <v>-368949.20047699998</v>
      </c>
      <c r="AQ11" s="24">
        <v>458195</v>
      </c>
    </row>
    <row r="12" spans="1:43" ht="18" customHeight="1">
      <c r="A12" s="112" t="s">
        <v>14</v>
      </c>
      <c r="B12" s="113" t="s">
        <v>15</v>
      </c>
      <c r="C12" s="113" t="s">
        <v>23</v>
      </c>
      <c r="D12" s="22">
        <v>27176468.23</v>
      </c>
      <c r="E12" s="114">
        <v>29708064.369999997</v>
      </c>
      <c r="F12" s="114">
        <v>32567739.68</v>
      </c>
      <c r="G12" s="100">
        <v>29604805.833689999</v>
      </c>
      <c r="H12" s="100">
        <v>29290918.687029999</v>
      </c>
      <c r="I12" s="100">
        <v>32302908</v>
      </c>
      <c r="J12" s="100">
        <v>31658653</v>
      </c>
      <c r="K12" s="100">
        <v>33355298</v>
      </c>
      <c r="L12" s="22">
        <v>24286419.140000001</v>
      </c>
      <c r="M12" s="114">
        <v>26644593.129999995</v>
      </c>
      <c r="N12" s="114">
        <v>29668024.57</v>
      </c>
      <c r="O12" s="100">
        <v>27009919.310732</v>
      </c>
      <c r="P12" s="100">
        <v>26899578.093961</v>
      </c>
      <c r="Q12" s="100">
        <v>29876863</v>
      </c>
      <c r="R12" s="100">
        <v>29168835</v>
      </c>
      <c r="S12" s="100">
        <v>30900755</v>
      </c>
      <c r="T12" s="22">
        <v>2890049.09</v>
      </c>
      <c r="U12" s="114">
        <v>3063471.24</v>
      </c>
      <c r="V12" s="114">
        <v>2899715.1100000003</v>
      </c>
      <c r="W12" s="100">
        <v>2594886.5229580002</v>
      </c>
      <c r="X12" s="100">
        <v>2391340.5930679999</v>
      </c>
      <c r="Y12" s="100">
        <v>2489818</v>
      </c>
      <c r="Z12" s="22">
        <v>328580.33</v>
      </c>
      <c r="AA12" s="114">
        <v>209933.07</v>
      </c>
      <c r="AB12" s="114">
        <v>333559.03000000003</v>
      </c>
      <c r="AC12" s="100">
        <v>73035.389355000007</v>
      </c>
      <c r="AD12" s="100">
        <v>-347408.52669999999</v>
      </c>
      <c r="AE12" s="100">
        <v>-226699</v>
      </c>
      <c r="AF12" s="22">
        <v>195142.17</v>
      </c>
      <c r="AG12" s="114">
        <v>304692.71999999997</v>
      </c>
      <c r="AH12" s="114">
        <v>102518.96</v>
      </c>
      <c r="AI12" s="100">
        <v>-358506.83653099998</v>
      </c>
      <c r="AJ12" s="100">
        <v>-218557.38849000001</v>
      </c>
      <c r="AK12" s="100">
        <v>13485</v>
      </c>
      <c r="AL12" s="22">
        <v>209933.07</v>
      </c>
      <c r="AM12" s="114">
        <v>333559.03000000003</v>
      </c>
      <c r="AN12" s="114">
        <v>73035.39</v>
      </c>
      <c r="AO12" s="100">
        <v>-347408.52669999999</v>
      </c>
      <c r="AP12" s="100">
        <v>-226699.17135399999</v>
      </c>
      <c r="AQ12" s="24">
        <v>15078</v>
      </c>
    </row>
    <row r="13" spans="1:43" ht="1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ht="1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08"/>
      <c r="Q15" s="181"/>
      <c r="R15" s="181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36" customHeight="1">
      <c r="A16" s="2"/>
      <c r="B16" s="2"/>
      <c r="C16" s="183" t="s">
        <v>24</v>
      </c>
      <c r="D16" s="2"/>
      <c r="E16" s="186" t="s">
        <v>13</v>
      </c>
      <c r="F16" s="181"/>
      <c r="G16" s="181"/>
      <c r="H16" s="181"/>
      <c r="I16" s="181"/>
      <c r="J16" s="181"/>
      <c r="K16" s="181"/>
      <c r="L16" s="181"/>
      <c r="M16" s="181"/>
      <c r="N16" s="2"/>
      <c r="O16" s="2"/>
      <c r="P16" s="109"/>
      <c r="Q16" s="181"/>
      <c r="R16" s="18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18" customHeight="1">
      <c r="A17" s="2"/>
      <c r="B17" s="2"/>
      <c r="C17" s="184"/>
      <c r="D17" s="2"/>
      <c r="E17" s="187"/>
      <c r="F17" s="101">
        <v>2020</v>
      </c>
      <c r="G17" s="101">
        <v>2021</v>
      </c>
      <c r="H17" s="101">
        <v>2022</v>
      </c>
      <c r="I17" s="101">
        <v>2023</v>
      </c>
      <c r="J17" s="101">
        <v>2024</v>
      </c>
      <c r="K17" s="107">
        <v>45809</v>
      </c>
      <c r="L17" s="107">
        <v>45992</v>
      </c>
      <c r="M17" s="107">
        <v>46174</v>
      </c>
      <c r="N17" s="107" t="s">
        <v>25</v>
      </c>
      <c r="O17" s="2"/>
      <c r="P17" s="109"/>
      <c r="Q17" s="181"/>
      <c r="R17" s="181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18" customHeight="1">
      <c r="A18" s="2"/>
      <c r="B18" s="2"/>
      <c r="C18" s="184"/>
      <c r="D18" s="2"/>
      <c r="E18" s="113" t="s">
        <v>16</v>
      </c>
      <c r="F18" s="37">
        <f>(L7/D7)</f>
        <v>0.8616318907913908</v>
      </c>
      <c r="G18" s="102">
        <f>(M7/E7)</f>
        <v>0.84797359559290009</v>
      </c>
      <c r="H18" s="102">
        <f>(N7/F7)</f>
        <v>0.8423629652011333</v>
      </c>
      <c r="I18" s="105">
        <f>(O7/G7)</f>
        <v>0.85350792938365927</v>
      </c>
      <c r="J18" s="105">
        <f>(P7/H7)</f>
        <v>0.8398001952784917</v>
      </c>
      <c r="K18" s="105">
        <f>(Q7/I7)</f>
        <v>0.91050159021834098</v>
      </c>
      <c r="L18" s="105">
        <f>(R7/J7)</f>
        <v>0.90309227994377694</v>
      </c>
      <c r="M18" s="105">
        <f>(S7/K7)</f>
        <v>0.90770204425822898</v>
      </c>
      <c r="N18" s="105">
        <f>$M$24</f>
        <v>0.91841680634391676</v>
      </c>
      <c r="O18" s="2"/>
      <c r="P18" s="109"/>
      <c r="Q18" s="181"/>
      <c r="R18" s="181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18" customHeight="1">
      <c r="A19" s="2"/>
      <c r="B19" s="2"/>
      <c r="C19" s="184"/>
      <c r="D19" s="2"/>
      <c r="E19" s="113" t="s">
        <v>18</v>
      </c>
      <c r="F19" s="37">
        <f>(L9/D9)</f>
        <v>0.89340449339355521</v>
      </c>
      <c r="G19" s="102">
        <f>(M9/E9)</f>
        <v>0.89078284724884194</v>
      </c>
      <c r="H19" s="102">
        <f>(N9/F9)</f>
        <v>0.89460513220030047</v>
      </c>
      <c r="I19" s="105">
        <f>(O9/G9)</f>
        <v>0.90598400896287778</v>
      </c>
      <c r="J19" s="105">
        <f>(P9/H9)</f>
        <v>0.89853669517071888</v>
      </c>
      <c r="K19" s="105">
        <f t="shared" ref="K19:M19" si="0">(Q9/I9)</f>
        <v>0.89833119497316349</v>
      </c>
      <c r="L19" s="105">
        <f t="shared" si="0"/>
        <v>0.90210956244938811</v>
      </c>
      <c r="M19" s="105">
        <f t="shared" si="0"/>
        <v>0.90310549446636257</v>
      </c>
      <c r="N19" s="105">
        <f t="shared" ref="N19:N23" si="1">$M$24</f>
        <v>0.91841680634391676</v>
      </c>
      <c r="O19" s="2"/>
      <c r="P19" s="109"/>
      <c r="Q19" s="181"/>
      <c r="R19" s="18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18" customHeight="1">
      <c r="A20" s="2"/>
      <c r="B20" s="2"/>
      <c r="C20" s="184"/>
      <c r="D20" s="2"/>
      <c r="E20" s="113" t="s">
        <v>17</v>
      </c>
      <c r="F20" s="37">
        <f>(L8/D8)</f>
        <v>0.8058328511237175</v>
      </c>
      <c r="G20" s="102">
        <f>(M8/E8)</f>
        <v>0.77251106848201101</v>
      </c>
      <c r="H20" s="102">
        <f>(N8/F8)</f>
        <v>0.86362287537973093</v>
      </c>
      <c r="I20" s="105">
        <f>(O8/G8)</f>
        <v>0.87109804658812418</v>
      </c>
      <c r="J20" s="105">
        <f>(P8/H8)</f>
        <v>0.87257772766902064</v>
      </c>
      <c r="K20" s="105">
        <f t="shared" ref="K20:M20" si="2">(Q8/I8)</f>
        <v>0.87577601200991828</v>
      </c>
      <c r="L20" s="105">
        <f t="shared" si="2"/>
        <v>0.87829365700816586</v>
      </c>
      <c r="M20" s="105">
        <f t="shared" si="2"/>
        <v>0.89899593743221928</v>
      </c>
      <c r="N20" s="105">
        <f t="shared" si="1"/>
        <v>0.91841680634391676</v>
      </c>
      <c r="O20" s="2"/>
      <c r="P20" s="110"/>
      <c r="Q20" s="181"/>
      <c r="R20" s="181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ht="18" customHeight="1">
      <c r="A21" s="2"/>
      <c r="B21" s="2"/>
      <c r="C21" s="184"/>
      <c r="D21" s="2"/>
      <c r="E21" s="113" t="s">
        <v>19</v>
      </c>
      <c r="F21" s="37">
        <f>(L10/D10)</f>
        <v>0.88939365150807526</v>
      </c>
      <c r="G21" s="102">
        <f>(M10/E10)</f>
        <v>0.90094725869859771</v>
      </c>
      <c r="H21" s="102">
        <f>(N10/F10)</f>
        <v>0.91313413886187655</v>
      </c>
      <c r="I21" s="105">
        <f>(O10/G10)</f>
        <v>0.91924098569408286</v>
      </c>
      <c r="J21" s="105">
        <f>(P10/H10)</f>
        <v>0.92469650720931684</v>
      </c>
      <c r="K21" s="105">
        <f t="shared" ref="K21:M21" si="3">(Q10/I10)</f>
        <v>0.92482617823956703</v>
      </c>
      <c r="L21" s="105">
        <f t="shared" si="3"/>
        <v>0.93068992550159746</v>
      </c>
      <c r="M21" s="105">
        <f t="shared" si="3"/>
        <v>0.93610869144645703</v>
      </c>
      <c r="N21" s="105">
        <f t="shared" si="1"/>
        <v>0.91841680634391676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ht="18" customHeight="1">
      <c r="A22" s="2"/>
      <c r="B22" s="2"/>
      <c r="C22" s="184"/>
      <c r="D22" s="2"/>
      <c r="E22" s="113" t="s">
        <v>22</v>
      </c>
      <c r="F22" s="37">
        <f>(L11/D11)</f>
        <v>0.92696845554621743</v>
      </c>
      <c r="G22" s="102">
        <f>(M11/E11)</f>
        <v>0.92847660190108916</v>
      </c>
      <c r="H22" s="102">
        <f>(N11/F11)</f>
        <v>0.93785766857529884</v>
      </c>
      <c r="I22" s="105">
        <f>(O11/G11)</f>
        <v>0.94369575768681446</v>
      </c>
      <c r="J22" s="105">
        <f>(P11/H11)</f>
        <v>0.93756939531108308</v>
      </c>
      <c r="K22" s="105">
        <f t="shared" ref="K22:M22" si="4">(Q11/I11)</f>
        <v>0.9351198802584032</v>
      </c>
      <c r="L22" s="105">
        <f t="shared" si="4"/>
        <v>0.93556018087913739</v>
      </c>
      <c r="M22" s="105">
        <f t="shared" si="4"/>
        <v>0.93817647051526454</v>
      </c>
      <c r="N22" s="105">
        <f t="shared" si="1"/>
        <v>0.91841680634391676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ht="18" customHeight="1">
      <c r="A23" s="2"/>
      <c r="B23" s="2"/>
      <c r="C23" s="184"/>
      <c r="D23" s="2"/>
      <c r="E23" s="113" t="s">
        <v>23</v>
      </c>
      <c r="F23" s="37">
        <f>(L12/D12)</f>
        <v>0.893656193088045</v>
      </c>
      <c r="G23" s="102">
        <f>(M12/E12)</f>
        <v>0.89688081990647706</v>
      </c>
      <c r="H23" s="102">
        <f>(N12/F12)</f>
        <v>0.91096357504414938</v>
      </c>
      <c r="I23" s="105">
        <f>(O12/G12)</f>
        <v>0.9123491456915741</v>
      </c>
      <c r="J23" s="105">
        <f>(P12/H12)</f>
        <v>0.91835897608333183</v>
      </c>
      <c r="K23" s="105">
        <f t="shared" ref="K23:M23" si="5">(Q12/I12)</f>
        <v>0.92489700927235408</v>
      </c>
      <c r="L23" s="105">
        <f t="shared" si="5"/>
        <v>0.92135426608327275</v>
      </c>
      <c r="M23" s="105">
        <f>(S12/K12)</f>
        <v>0.92641219994496826</v>
      </c>
      <c r="N23" s="105">
        <f t="shared" si="1"/>
        <v>0.91841680634391676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ht="18" customHeight="1">
      <c r="A24" s="2"/>
      <c r="B24" s="2"/>
      <c r="C24" s="184"/>
      <c r="D24" s="2"/>
      <c r="E24" s="2"/>
      <c r="F24" s="38"/>
      <c r="G24" s="38"/>
      <c r="H24" s="38"/>
      <c r="I24" s="38"/>
      <c r="J24" s="38"/>
      <c r="K24" s="38"/>
      <c r="L24" s="38"/>
      <c r="M24" s="105">
        <f>AVERAGE(M18:M23)</f>
        <v>0.91841680634391676</v>
      </c>
      <c r="N24" s="3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8" customHeight="1">
      <c r="A25" s="2"/>
      <c r="B25" s="2"/>
      <c r="C25" s="184"/>
      <c r="D25" s="2"/>
      <c r="E25" s="2"/>
      <c r="F25" s="181"/>
      <c r="G25" s="181"/>
      <c r="H25" s="181"/>
      <c r="I25" s="181"/>
      <c r="J25" s="181"/>
      <c r="K25" s="181"/>
      <c r="L25" s="181"/>
      <c r="M25" s="181"/>
      <c r="N25" s="18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ht="18" customHeight="1">
      <c r="A26" s="2"/>
      <c r="B26" s="2"/>
      <c r="C26" s="18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8" customHeight="1">
      <c r="A27" s="2"/>
      <c r="B27" s="2"/>
      <c r="C27" s="1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8" customHeight="1">
      <c r="A28" s="2"/>
      <c r="B28" s="2"/>
      <c r="C28" s="18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ht="18" customHeight="1">
      <c r="A29" s="2"/>
      <c r="B29" s="2"/>
      <c r="C29" s="18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ht="18" customHeight="1">
      <c r="A30" s="2"/>
      <c r="B30" s="2"/>
      <c r="C30" s="18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ht="18" customHeight="1">
      <c r="A31" s="2"/>
      <c r="B31" s="2"/>
      <c r="C31" s="18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ht="18" customHeight="1">
      <c r="A32" s="2"/>
      <c r="B32" s="2"/>
      <c r="C32" s="18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ht="18" customHeight="1">
      <c r="A33" s="2"/>
      <c r="B33" s="2"/>
      <c r="C33" s="18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ht="1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ht="1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ht="1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ht="1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ht="1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ht="1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ht="18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ht="1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ht="1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ht="1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ht="1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ht="1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ht="1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1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ht="1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ht="1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ht="1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ht="1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ht="1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ht="1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ht="1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ht="1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ht="1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ht="1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ht="1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ht="1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ht="1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ht="1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ht="1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ht="1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ht="1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ht="1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ht="1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ht="1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ht="1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ht="1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ht="1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ht="1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ht="1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1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ht="1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ht="1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ht="1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ht="1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ht="1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ht="1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ht="1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ht="1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ht="1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ht="1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ht="1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ht="1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ht="1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ht="1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ht="1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ht="1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ht="1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ht="1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ht="1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ht="1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ht="1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ht="1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ht="1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ht="1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ht="1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ht="1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ht="1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ht="1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ht="1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ht="1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ht="1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ht="1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ht="1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ht="1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ht="1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ht="1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ht="1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ht="1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ht="1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ht="1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ht="1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ht="1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ht="1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ht="1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ht="1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ht="1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ht="1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ht="1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1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ht="1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ht="1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ht="1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ht="1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ht="1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ht="1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ht="1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ht="1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ht="1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ht="1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ht="1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ht="1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ht="1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ht="1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ht="1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ht="1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ht="1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ht="1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ht="1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ht="1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ht="1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ht="1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ht="1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ht="1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ht="1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ht="1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ht="1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ht="1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ht="1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ht="1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ht="1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ht="1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ht="1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ht="1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ht="1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ht="1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ht="1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ht="1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ht="1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ht="1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ht="1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ht="1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ht="1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ht="1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ht="1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ht="1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ht="1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ht="1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ht="1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ht="1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ht="1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ht="1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ht="1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ht="1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ht="1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ht="1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ht="1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ht="1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ht="1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ht="18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ht="1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ht="1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ht="1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ht="1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ht="1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ht="1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ht="1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ht="18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ht="1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ht="1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ht="1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1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ht="1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ht="1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ht="1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ht="1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ht="1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ht="1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ht="1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ht="1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ht="18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ht="1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ht="1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ht="1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ht="1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ht="1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ht="1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ht="1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ht="1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ht="1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ht="1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1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ht="1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ht="1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ht="1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ht="1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ht="1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ht="1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ht="1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ht="1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ht="1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ht="1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ht="1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ht="1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ht="1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ht="1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ht="1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ht="1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ht="1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ht="1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ht="1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1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ht="1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ht="1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ht="1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ht="1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ht="1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ht="1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1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ht="1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ht="1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ht="1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ht="1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ht="1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ht="1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ht="1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1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ht="1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ht="1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ht="1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ht="1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ht="1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ht="1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ht="1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ht="1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ht="1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ht="1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ht="1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ht="1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ht="1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ht="1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ht="1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ht="1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ht="1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ht="1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1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ht="1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ht="1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ht="1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ht="1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ht="1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ht="1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ht="1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ht="1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ht="1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1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ht="1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ht="1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ht="1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ht="1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ht="1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ht="1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ht="1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ht="1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ht="1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1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ht="1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ht="1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ht="1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ht="1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ht="1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ht="1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ht="1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ht="1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ht="18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ht="1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ht="1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ht="1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ht="1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ht="1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ht="1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ht="1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ht="1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1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ht="1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ht="1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ht="1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ht="1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ht="1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ht="1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1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ht="1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ht="1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ht="1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ht="1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ht="1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ht="1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ht="1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1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ht="1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ht="1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ht="1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ht="1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ht="18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ht="1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ht="1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ht="1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ht="1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ht="1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ht="1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ht="1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ht="1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ht="1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ht="1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ht="1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ht="1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ht="1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1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ht="1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ht="1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ht="1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ht="1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ht="1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ht="1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ht="1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ht="1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ht="1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ht="1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ht="1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ht="1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ht="1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ht="1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ht="1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ht="1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ht="1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ht="1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ht="1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ht="1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ht="1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ht="1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ht="1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ht="1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ht="1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ht="1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ht="1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ht="1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ht="1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ht="1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ht="18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ht="1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ht="1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ht="1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ht="1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ht="1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ht="1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ht="1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ht="1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ht="1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ht="1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ht="18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ht="1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ht="1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ht="1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ht="1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ht="1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ht="1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ht="1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ht="1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ht="1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ht="1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ht="1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ht="1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ht="1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ht="1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ht="1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ht="1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ht="1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ht="1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ht="1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ht="1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ht="1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ht="1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ht="1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ht="1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ht="1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ht="1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ht="1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ht="1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ht="1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ht="1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ht="1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ht="1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ht="1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ht="1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ht="1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ht="1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ht="18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ht="1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ht="1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ht="1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ht="1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ht="1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ht="1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ht="1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ht="1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ht="1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ht="1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ht="1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ht="1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ht="1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ht="1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ht="1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ht="1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ht="1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ht="1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ht="1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ht="18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ht="1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ht="1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ht="1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ht="1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ht="1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ht="1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ht="1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ht="1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ht="1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ht="1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ht="1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ht="1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ht="1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ht="1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ht="1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ht="1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ht="1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ht="1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ht="1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ht="1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ht="1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ht="1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ht="1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ht="1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ht="1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ht="1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ht="1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ht="1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ht="1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ht="18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ht="1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ht="1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ht="1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ht="1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ht="1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ht="1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ht="1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ht="1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ht="1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ht="1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ht="1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ht="1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ht="1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ht="1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ht="1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ht="1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ht="18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ht="1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ht="1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ht="1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ht="1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ht="1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ht="1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ht="1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ht="1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ht="1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ht="18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ht="1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ht="1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ht="18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ht="1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ht="1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ht="1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ht="1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ht="1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ht="1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ht="1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ht="1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ht="18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ht="1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ht="1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ht="1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ht="1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ht="1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ht="1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ht="1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ht="1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ht="1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ht="1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ht="1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ht="1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ht="1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ht="1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ht="1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ht="1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ht="1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ht="1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ht="1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ht="1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ht="1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ht="1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ht="1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ht="1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ht="1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ht="1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ht="1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ht="1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ht="1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ht="1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ht="1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ht="1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ht="1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ht="1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ht="1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ht="1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ht="1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ht="1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ht="1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ht="1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ht="1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ht="1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ht="1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ht="1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ht="1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ht="1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ht="1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ht="1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ht="1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ht="1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ht="1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ht="1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ht="1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ht="1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ht="1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ht="1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ht="1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ht="1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ht="1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ht="1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ht="1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ht="1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ht="1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ht="18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ht="1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ht="1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ht="1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ht="1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ht="1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ht="1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ht="1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ht="18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ht="1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ht="1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ht="1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ht="1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ht="1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ht="1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ht="1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ht="1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ht="1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ht="1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ht="1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ht="1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ht="1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ht="1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ht="1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ht="1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ht="18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ht="1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ht="1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ht="1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ht="1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ht="1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ht="1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ht="1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ht="1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ht="1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ht="1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ht="1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ht="1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ht="1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ht="1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ht="1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ht="1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ht="1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ht="1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ht="1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ht="1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ht="1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ht="1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ht="1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ht="1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ht="1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ht="1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ht="1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ht="1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ht="1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ht="1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ht="1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ht="1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ht="1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ht="1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ht="1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ht="1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ht="1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ht="1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ht="1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ht="1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ht="1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ht="1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ht="1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ht="1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ht="1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ht="1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ht="1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ht="18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ht="1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ht="1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ht="1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ht="1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ht="1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ht="1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ht="1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ht="1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ht="1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ht="1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ht="1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ht="1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ht="1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ht="1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ht="1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ht="1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ht="1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ht="1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ht="1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ht="1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ht="1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ht="1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ht="1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ht="1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ht="1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ht="1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ht="1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ht="1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ht="1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ht="1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ht="1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ht="1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ht="1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ht="1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ht="1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ht="1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ht="1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ht="1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ht="1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ht="1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ht="1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ht="1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ht="1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ht="1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ht="1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ht="1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ht="1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ht="1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ht="1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ht="1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ht="1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ht="18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ht="1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ht="1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ht="1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ht="1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ht="1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ht="1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ht="1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ht="1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ht="1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ht="1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ht="1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ht="1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ht="1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ht="1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ht="1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ht="1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ht="18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ht="1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ht="1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ht="18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ht="1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ht="1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ht="1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ht="1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ht="1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ht="1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ht="1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ht="1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ht="1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ht="1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ht="1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ht="1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ht="1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ht="1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ht="18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ht="1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ht="1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ht="1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ht="1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ht="1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ht="1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ht="1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ht="1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ht="1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ht="1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ht="1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ht="1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ht="1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ht="1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ht="1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ht="1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ht="1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ht="1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ht="18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ht="1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ht="1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ht="1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ht="1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ht="1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ht="1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ht="1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ht="1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ht="1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ht="1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ht="18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ht="1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ht="1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ht="1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ht="1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ht="1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ht="1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ht="1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ht="1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ht="1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ht="1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ht="18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ht="1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ht="1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ht="1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ht="1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ht="1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ht="1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ht="1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ht="1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ht="1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ht="1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ht="1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ht="1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ht="1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ht="1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ht="1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ht="1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ht="1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ht="1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ht="1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ht="18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ht="1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ht="1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ht="1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ht="1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ht="18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ht="1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ht="1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ht="1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ht="1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ht="1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ht="1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ht="1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ht="1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ht="1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ht="1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ht="1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ht="1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ht="1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ht="1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ht="1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ht="1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ht="1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ht="1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ht="1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ht="1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ht="1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ht="1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ht="18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ht="1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ht="1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ht="1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ht="1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ht="1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ht="1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ht="1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ht="1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ht="1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ht="1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ht="1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ht="1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ht="1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ht="1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ht="1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ht="1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ht="1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ht="1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ht="1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ht="1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ht="1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ht="1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ht="1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ht="1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ht="1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ht="1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ht="1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ht="1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ht="1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ht="1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ht="1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ht="1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ht="1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ht="1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ht="1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ht="1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ht="1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ht="1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ht="1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ht="1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ht="1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ht="1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ht="1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ht="1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ht="1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ht="1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ht="1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ht="1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ht="1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ht="1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ht="18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ht="1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ht="1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ht="1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ht="1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ht="1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ht="1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ht="1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ht="1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ht="1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ht="1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ht="1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ht="18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ht="1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ht="1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ht="1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ht="1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ht="1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ht="1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ht="1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ht="1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ht="1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ht="1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ht="1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ht="1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ht="1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ht="1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ht="1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ht="1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ht="1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ht="1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ht="1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ht="1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ht="1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ht="1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ht="1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ht="1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ht="1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ht="1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ht="1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ht="1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ht="1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ht="1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ht="1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ht="1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ht="18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ht="1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spans="1:43" ht="1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spans="1:43" ht="1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spans="1:43" ht="1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spans="1:43" ht="1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spans="1:43" ht="1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spans="1:43" ht="1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spans="1:43" ht="1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spans="1:43" ht="1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spans="1:43" ht="1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3">
    <mergeCell ref="C16:C33"/>
    <mergeCell ref="E16:E17"/>
    <mergeCell ref="AF5:AK5"/>
    <mergeCell ref="AL5:AP5"/>
    <mergeCell ref="A2:AP2"/>
    <mergeCell ref="A3:AP3"/>
    <mergeCell ref="A4:AP4"/>
    <mergeCell ref="A5:A6"/>
    <mergeCell ref="B5:B6"/>
    <mergeCell ref="D5:J5"/>
    <mergeCell ref="L5:R5"/>
    <mergeCell ref="T5:Y5"/>
    <mergeCell ref="Z5:AE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showGridLines="0" workbookViewId="0">
      <pane xSplit="1" topLeftCell="C1" activePane="topRight" state="frozen"/>
      <selection pane="topRight" activeCell="AF26" sqref="AF26"/>
    </sheetView>
  </sheetViews>
  <sheetFormatPr defaultColWidth="14.42578125" defaultRowHeight="15" customHeight="1"/>
  <cols>
    <col min="1" max="1" width="30.140625" customWidth="1"/>
    <col min="2" max="2" width="11.5703125" hidden="1" customWidth="1"/>
    <col min="3" max="7" width="11.5703125" customWidth="1"/>
    <col min="8" max="8" width="17" customWidth="1"/>
    <col min="9" max="11" width="11.5703125" hidden="1" customWidth="1"/>
    <col min="12" max="15" width="11.5703125" customWidth="1"/>
    <col min="16" max="16" width="11.5703125" style="1" customWidth="1"/>
    <col min="17" max="20" width="11.5703125" customWidth="1"/>
    <col min="21" max="21" width="14" customWidth="1"/>
    <col min="22" max="23" width="11.5703125" customWidth="1"/>
    <col min="24" max="25" width="11.5703125" hidden="1" customWidth="1"/>
    <col min="26" max="31" width="11.5703125" customWidth="1"/>
  </cols>
  <sheetData>
    <row r="1" spans="1:31" ht="15.75" customHeight="1">
      <c r="A1" s="1" t="s">
        <v>26</v>
      </c>
      <c r="B1" s="1"/>
      <c r="C1" s="1" t="s">
        <v>27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>
      <c r="A2" s="205" t="s">
        <v>13</v>
      </c>
      <c r="B2" s="207" t="s">
        <v>28</v>
      </c>
      <c r="C2" s="208"/>
      <c r="D2" s="208"/>
      <c r="E2" s="208"/>
      <c r="F2" s="208"/>
      <c r="G2" s="208"/>
      <c r="H2" s="208"/>
      <c r="I2" s="209" t="s">
        <v>29</v>
      </c>
      <c r="J2" s="180"/>
      <c r="K2" s="180"/>
      <c r="L2" s="180"/>
      <c r="M2" s="180"/>
      <c r="N2" s="180"/>
      <c r="O2" s="210" t="s">
        <v>30</v>
      </c>
      <c r="P2" s="207" t="s">
        <v>31</v>
      </c>
      <c r="Q2" s="208"/>
      <c r="R2" s="208"/>
      <c r="S2" s="208"/>
      <c r="T2" s="208"/>
      <c r="U2" s="208"/>
      <c r="V2" s="208"/>
      <c r="W2" s="208"/>
      <c r="X2" s="117"/>
      <c r="Y2" s="181"/>
      <c r="Z2" s="1"/>
      <c r="AA2" s="1"/>
      <c r="AB2" s="1"/>
      <c r="AC2" s="202" t="s">
        <v>30</v>
      </c>
      <c r="AD2" s="1"/>
      <c r="AE2" s="1"/>
    </row>
    <row r="3" spans="1:31" ht="15.75" customHeight="1">
      <c r="A3" s="206"/>
      <c r="B3" s="118">
        <v>2021</v>
      </c>
      <c r="C3" s="3">
        <v>2022</v>
      </c>
      <c r="D3" s="4">
        <v>45261</v>
      </c>
      <c r="E3" s="4">
        <v>45627</v>
      </c>
      <c r="F3" s="4">
        <v>45809</v>
      </c>
      <c r="G3" s="4">
        <v>45992</v>
      </c>
      <c r="H3" s="119">
        <v>46174</v>
      </c>
      <c r="I3" s="187"/>
      <c r="J3" s="120" t="s">
        <v>32</v>
      </c>
      <c r="K3" s="120" t="s">
        <v>33</v>
      </c>
      <c r="L3" s="120" t="s">
        <v>34</v>
      </c>
      <c r="M3" s="120" t="s">
        <v>35</v>
      </c>
      <c r="N3" s="121" t="s">
        <v>25</v>
      </c>
      <c r="O3" s="211"/>
      <c r="P3" s="5">
        <v>2021</v>
      </c>
      <c r="Q3" s="122">
        <v>2022</v>
      </c>
      <c r="R3" s="123">
        <v>45261</v>
      </c>
      <c r="S3" s="123">
        <v>45627</v>
      </c>
      <c r="T3" s="123">
        <v>45809</v>
      </c>
      <c r="U3" s="4">
        <v>45992</v>
      </c>
      <c r="V3" s="124">
        <v>46203</v>
      </c>
      <c r="W3" s="180" t="s">
        <v>29</v>
      </c>
      <c r="X3" s="125" t="s">
        <v>36</v>
      </c>
      <c r="Y3" s="7" t="s">
        <v>37</v>
      </c>
      <c r="Z3" s="120" t="s">
        <v>34</v>
      </c>
      <c r="AA3" s="7" t="s">
        <v>38</v>
      </c>
      <c r="AB3" s="121" t="s">
        <v>25</v>
      </c>
      <c r="AC3" s="203"/>
      <c r="AD3" s="181"/>
      <c r="AE3" s="181"/>
    </row>
    <row r="4" spans="1:31" ht="15.75" customHeight="1">
      <c r="A4" s="126" t="s">
        <v>16</v>
      </c>
      <c r="B4" s="127">
        <v>0.13059999999999999</v>
      </c>
      <c r="C4" s="128">
        <v>0.1709</v>
      </c>
      <c r="D4" s="129">
        <v>0.1613</v>
      </c>
      <c r="E4" s="129">
        <v>0.13200000000000001</v>
      </c>
      <c r="F4" s="130">
        <v>0.29959999999999998</v>
      </c>
      <c r="G4" s="131">
        <v>0.24690000000000001</v>
      </c>
      <c r="H4" s="129">
        <v>0.3145</v>
      </c>
      <c r="I4" s="129">
        <f t="shared" ref="I4:I9" si="0">(G4-E4)/E4</f>
        <v>0.87045454545454548</v>
      </c>
      <c r="J4" s="129">
        <f t="shared" ref="J4:J9" si="1">$D$10</f>
        <v>3.6599999999999994E-2</v>
      </c>
      <c r="K4" s="129">
        <f t="shared" ref="K4:K9" si="2">$E$10</f>
        <v>3.3216666666666665E-2</v>
      </c>
      <c r="L4" s="129">
        <f t="shared" ref="L4:L9" si="3">$F$10</f>
        <v>0.1055</v>
      </c>
      <c r="M4" s="129">
        <f t="shared" ref="M4:M9" si="4">$G$10</f>
        <v>0.10165</v>
      </c>
      <c r="N4" s="129">
        <f t="shared" ref="N4:N9" si="5">$H$10</f>
        <v>0.1451833333333333</v>
      </c>
      <c r="O4" s="132">
        <f t="shared" ref="O4:O9" si="6">AVERAGE(C4:G4)</f>
        <v>0.20213999999999999</v>
      </c>
      <c r="P4" s="127">
        <v>1.9900000000000001E-2</v>
      </c>
      <c r="Q4" s="128">
        <v>2.8199999999999999E-2</v>
      </c>
      <c r="R4" s="128">
        <v>2.3599999999999999E-2</v>
      </c>
      <c r="S4" s="128">
        <v>2.1100000000000001E-2</v>
      </c>
      <c r="T4" s="130">
        <v>2.52E-2</v>
      </c>
      <c r="U4" s="133">
        <v>2.3900000000000001E-2</v>
      </c>
      <c r="V4" s="128">
        <v>2.7199999999999998E-2</v>
      </c>
      <c r="W4" s="128">
        <f t="shared" ref="W4:W9" si="7">(U4-S4)/S4</f>
        <v>0.13270142180094788</v>
      </c>
      <c r="X4" s="128">
        <f t="shared" ref="X4:X9" si="8">R$10</f>
        <v>5.0000000000000001E-3</v>
      </c>
      <c r="Y4" s="128">
        <f t="shared" ref="Y4:Y9" si="9">$S$10</f>
        <v>5.2500000000000003E-3</v>
      </c>
      <c r="Z4" s="128">
        <f t="shared" ref="Z4:Z9" si="10">$T$10</f>
        <v>9.2833333333333327E-3</v>
      </c>
      <c r="AA4" s="128">
        <f t="shared" ref="AA4:AA9" si="11">$U$10</f>
        <v>9.3666666666666672E-3</v>
      </c>
      <c r="AB4" s="128">
        <f t="shared" ref="AB4:AB9" si="12">$V$10</f>
        <v>1.1783333333333333E-2</v>
      </c>
      <c r="AC4" s="132">
        <f t="shared" ref="AC4:AC9" si="13">AVERAGE(Q4:U4)</f>
        <v>2.4399999999999998E-2</v>
      </c>
      <c r="AD4" s="181"/>
      <c r="AE4" s="181"/>
    </row>
    <row r="5" spans="1:31" ht="15.75" customHeight="1">
      <c r="A5" s="126" t="s">
        <v>18</v>
      </c>
      <c r="B5" s="127">
        <v>9.1799999999999993E-2</v>
      </c>
      <c r="C5" s="128">
        <v>7.8899999999999998E-2</v>
      </c>
      <c r="D5" s="129">
        <v>8.1000000000000013E-3</v>
      </c>
      <c r="E5" s="129">
        <v>5.8200000000000002E-2</v>
      </c>
      <c r="F5" s="130">
        <v>9.69E-2</v>
      </c>
      <c r="G5" s="131">
        <v>0.1222</v>
      </c>
      <c r="H5" s="130">
        <v>0.16220000000000001</v>
      </c>
      <c r="I5" s="129">
        <f t="shared" si="0"/>
        <v>1.0996563573883162</v>
      </c>
      <c r="J5" s="129">
        <f t="shared" si="1"/>
        <v>3.6599999999999994E-2</v>
      </c>
      <c r="K5" s="129">
        <f t="shared" si="2"/>
        <v>3.3216666666666665E-2</v>
      </c>
      <c r="L5" s="129">
        <f t="shared" si="3"/>
        <v>0.1055</v>
      </c>
      <c r="M5" s="129">
        <f t="shared" si="4"/>
        <v>0.10165</v>
      </c>
      <c r="N5" s="129">
        <f t="shared" si="5"/>
        <v>0.1451833333333333</v>
      </c>
      <c r="O5" s="132">
        <f t="shared" si="6"/>
        <v>7.2859999999999994E-2</v>
      </c>
      <c r="P5" s="127">
        <v>0.01</v>
      </c>
      <c r="Q5" s="128">
        <v>8.3000000000000001E-3</v>
      </c>
      <c r="R5" s="128">
        <v>8.0000000000000004E-4</v>
      </c>
      <c r="S5" s="128">
        <v>5.8999999999999999E-3</v>
      </c>
      <c r="T5" s="134">
        <v>9.7000000000000003E-3</v>
      </c>
      <c r="U5" s="133">
        <v>1.1900000000000001E-2</v>
      </c>
      <c r="V5" s="134">
        <v>1.52E-2</v>
      </c>
      <c r="W5" s="128">
        <f t="shared" si="7"/>
        <v>1.0169491525423731</v>
      </c>
      <c r="X5" s="128">
        <f t="shared" si="8"/>
        <v>5.0000000000000001E-3</v>
      </c>
      <c r="Y5" s="128">
        <f t="shared" si="9"/>
        <v>5.2500000000000003E-3</v>
      </c>
      <c r="Z5" s="128">
        <f t="shared" si="10"/>
        <v>9.2833333333333327E-3</v>
      </c>
      <c r="AA5" s="128">
        <f t="shared" si="11"/>
        <v>9.3666666666666672E-3</v>
      </c>
      <c r="AB5" s="128">
        <f t="shared" si="12"/>
        <v>1.1783333333333333E-2</v>
      </c>
      <c r="AC5" s="132">
        <f t="shared" si="13"/>
        <v>7.3200000000000001E-3</v>
      </c>
      <c r="AD5" s="181"/>
      <c r="AE5" s="181"/>
    </row>
    <row r="6" spans="1:31" ht="15.75" customHeight="1">
      <c r="A6" s="126" t="s">
        <v>17</v>
      </c>
      <c r="B6" s="127">
        <v>0.17749999999999999</v>
      </c>
      <c r="C6" s="25">
        <v>0.14960000000000001</v>
      </c>
      <c r="D6" s="26">
        <v>6.8000000000000005E-2</v>
      </c>
      <c r="E6" s="26">
        <v>6.9900000000000004E-2</v>
      </c>
      <c r="F6" s="129">
        <v>7.7600000000000002E-2</v>
      </c>
      <c r="G6" s="131">
        <v>7.5999999999999998E-2</v>
      </c>
      <c r="H6" s="130">
        <v>0.1043</v>
      </c>
      <c r="I6" s="129">
        <f t="shared" si="0"/>
        <v>8.7267525035765292E-2</v>
      </c>
      <c r="J6" s="129">
        <f t="shared" si="1"/>
        <v>3.6599999999999994E-2</v>
      </c>
      <c r="K6" s="129">
        <f t="shared" si="2"/>
        <v>3.3216666666666665E-2</v>
      </c>
      <c r="L6" s="129">
        <f t="shared" si="3"/>
        <v>0.1055</v>
      </c>
      <c r="M6" s="129">
        <f t="shared" si="4"/>
        <v>0.10165</v>
      </c>
      <c r="N6" s="129">
        <f t="shared" si="5"/>
        <v>0.1451833333333333</v>
      </c>
      <c r="O6" s="132">
        <f t="shared" si="6"/>
        <v>8.8220000000000007E-2</v>
      </c>
      <c r="P6" s="127">
        <v>4.0399999999999998E-2</v>
      </c>
      <c r="Q6" s="128">
        <v>2.0400000000000001E-2</v>
      </c>
      <c r="R6" s="128">
        <v>8.8000000000000005E-3</v>
      </c>
      <c r="S6" s="128">
        <v>8.8999999999999999E-3</v>
      </c>
      <c r="T6" s="134">
        <v>9.4999999999999998E-3</v>
      </c>
      <c r="U6" s="133">
        <v>9.1999999999999998E-3</v>
      </c>
      <c r="V6" s="134">
        <v>1.03E-2</v>
      </c>
      <c r="W6" s="128">
        <f t="shared" si="7"/>
        <v>3.3707865168539318E-2</v>
      </c>
      <c r="X6" s="128">
        <f t="shared" si="8"/>
        <v>5.0000000000000001E-3</v>
      </c>
      <c r="Y6" s="128">
        <f t="shared" si="9"/>
        <v>5.2500000000000003E-3</v>
      </c>
      <c r="Z6" s="128">
        <f t="shared" si="10"/>
        <v>9.2833333333333327E-3</v>
      </c>
      <c r="AA6" s="128">
        <f t="shared" si="11"/>
        <v>9.3666666666666672E-3</v>
      </c>
      <c r="AB6" s="128">
        <f t="shared" si="12"/>
        <v>1.1783333333333333E-2</v>
      </c>
      <c r="AC6" s="132">
        <f t="shared" si="13"/>
        <v>1.136E-2</v>
      </c>
      <c r="AD6" s="181"/>
      <c r="AE6" s="181"/>
    </row>
    <row r="7" spans="1:31" ht="15.75" customHeight="1">
      <c r="A7" s="126" t="s">
        <v>19</v>
      </c>
      <c r="B7" s="127">
        <v>0.10539999999999999</v>
      </c>
      <c r="C7" s="128">
        <v>0.10589999999999999</v>
      </c>
      <c r="D7" s="129">
        <v>8.3299999999999999E-2</v>
      </c>
      <c r="E7" s="129">
        <v>9.0300000000000005E-2</v>
      </c>
      <c r="F7" s="134">
        <v>0.1115</v>
      </c>
      <c r="G7" s="131">
        <v>9.35E-2</v>
      </c>
      <c r="H7" s="134">
        <v>0.1384</v>
      </c>
      <c r="I7" s="129">
        <f t="shared" si="0"/>
        <v>3.5437430786267932E-2</v>
      </c>
      <c r="J7" s="129">
        <f t="shared" si="1"/>
        <v>3.6599999999999994E-2</v>
      </c>
      <c r="K7" s="129">
        <f t="shared" si="2"/>
        <v>3.3216666666666665E-2</v>
      </c>
      <c r="L7" s="129">
        <f t="shared" si="3"/>
        <v>0.1055</v>
      </c>
      <c r="M7" s="129">
        <f t="shared" si="4"/>
        <v>0.10165</v>
      </c>
      <c r="N7" s="129">
        <f t="shared" si="5"/>
        <v>0.1451833333333333</v>
      </c>
      <c r="O7" s="132">
        <f t="shared" si="6"/>
        <v>9.6899999999999986E-2</v>
      </c>
      <c r="P7" s="127">
        <v>1.04E-2</v>
      </c>
      <c r="Q7" s="128">
        <v>9.1999999999999998E-3</v>
      </c>
      <c r="R7" s="128">
        <v>6.7000000000000002E-3</v>
      </c>
      <c r="S7" s="128">
        <v>6.7999999999999996E-3</v>
      </c>
      <c r="T7" s="134">
        <v>8.2000000000000007E-3</v>
      </c>
      <c r="U7" s="133">
        <v>6.4999999999999997E-3</v>
      </c>
      <c r="V7" s="134">
        <v>8.6E-3</v>
      </c>
      <c r="W7" s="128">
        <f t="shared" si="7"/>
        <v>-4.4117647058823518E-2</v>
      </c>
      <c r="X7" s="128">
        <f t="shared" si="8"/>
        <v>5.0000000000000001E-3</v>
      </c>
      <c r="Y7" s="128">
        <f t="shared" si="9"/>
        <v>5.2500000000000003E-3</v>
      </c>
      <c r="Z7" s="128">
        <f t="shared" si="10"/>
        <v>9.2833333333333327E-3</v>
      </c>
      <c r="AA7" s="128">
        <f t="shared" si="11"/>
        <v>9.3666666666666672E-3</v>
      </c>
      <c r="AB7" s="128">
        <f t="shared" si="12"/>
        <v>1.1783333333333333E-2</v>
      </c>
      <c r="AC7" s="132">
        <f t="shared" si="13"/>
        <v>7.4800000000000005E-3</v>
      </c>
      <c r="AD7" s="181"/>
      <c r="AE7" s="181"/>
    </row>
    <row r="8" spans="1:31" ht="15.75" customHeight="1">
      <c r="A8" s="126" t="s">
        <v>22</v>
      </c>
      <c r="B8" s="127">
        <v>0.15740000000000001</v>
      </c>
      <c r="C8" s="25">
        <v>0.15140000000000001</v>
      </c>
      <c r="D8" s="26">
        <v>3.2799999999999996E-2</v>
      </c>
      <c r="E8" s="26">
        <v>-5.6300000000000003E-2</v>
      </c>
      <c r="F8" s="134">
        <v>4.1000000000000002E-2</v>
      </c>
      <c r="G8" s="131">
        <v>6.5199999999999994E-2</v>
      </c>
      <c r="H8" s="130">
        <v>0.13320000000000001</v>
      </c>
      <c r="I8" s="129">
        <f t="shared" si="0"/>
        <v>-2.1580817051509769</v>
      </c>
      <c r="J8" s="129">
        <f t="shared" si="1"/>
        <v>3.6599999999999994E-2</v>
      </c>
      <c r="K8" s="129">
        <f t="shared" si="2"/>
        <v>3.3216666666666665E-2</v>
      </c>
      <c r="L8" s="129">
        <f t="shared" si="3"/>
        <v>0.1055</v>
      </c>
      <c r="M8" s="129">
        <f t="shared" si="4"/>
        <v>0.10165</v>
      </c>
      <c r="N8" s="129">
        <f t="shared" si="5"/>
        <v>0.1451833333333333</v>
      </c>
      <c r="O8" s="132">
        <f t="shared" si="6"/>
        <v>4.6820000000000007E-2</v>
      </c>
      <c r="P8" s="127">
        <v>1.1299999999999999E-2</v>
      </c>
      <c r="Q8" s="128">
        <v>9.3999999999999986E-3</v>
      </c>
      <c r="R8" s="128">
        <v>1.8E-3</v>
      </c>
      <c r="S8" s="128">
        <v>-3.5000000000000001E-3</v>
      </c>
      <c r="T8" s="134">
        <v>2.5999999999999999E-3</v>
      </c>
      <c r="U8" s="133">
        <v>4.1999999999999997E-3</v>
      </c>
      <c r="V8" s="134">
        <v>8.0000000000000002E-3</v>
      </c>
      <c r="W8" s="128">
        <f t="shared" si="7"/>
        <v>-2.2000000000000002</v>
      </c>
      <c r="X8" s="128">
        <f t="shared" si="8"/>
        <v>5.0000000000000001E-3</v>
      </c>
      <c r="Y8" s="128">
        <f t="shared" si="9"/>
        <v>5.2500000000000003E-3</v>
      </c>
      <c r="Z8" s="128">
        <f t="shared" si="10"/>
        <v>9.2833333333333327E-3</v>
      </c>
      <c r="AA8" s="128">
        <f t="shared" si="11"/>
        <v>9.3666666666666672E-3</v>
      </c>
      <c r="AB8" s="128">
        <f t="shared" si="12"/>
        <v>1.1783333333333333E-2</v>
      </c>
      <c r="AC8" s="132">
        <f t="shared" si="13"/>
        <v>2.8999999999999998E-3</v>
      </c>
      <c r="AD8" s="181"/>
      <c r="AE8" s="181"/>
    </row>
    <row r="9" spans="1:31" ht="15.75" customHeight="1">
      <c r="A9" s="126" t="s">
        <v>23</v>
      </c>
      <c r="B9" s="127">
        <v>0.10890000000000001</v>
      </c>
      <c r="C9" s="128">
        <v>2.52E-2</v>
      </c>
      <c r="D9" s="129">
        <v>-0.13390000000000002</v>
      </c>
      <c r="E9" s="129">
        <v>-9.4799999999999995E-2</v>
      </c>
      <c r="F9" s="130">
        <v>6.4000000000000003E-3</v>
      </c>
      <c r="G9" s="131">
        <v>6.1000000000000004E-3</v>
      </c>
      <c r="H9" s="130">
        <v>1.8499999999999999E-2</v>
      </c>
      <c r="I9" s="129">
        <f t="shared" si="0"/>
        <v>-1.0643459915611815</v>
      </c>
      <c r="J9" s="129">
        <f t="shared" si="1"/>
        <v>3.6599999999999994E-2</v>
      </c>
      <c r="K9" s="129">
        <f t="shared" si="2"/>
        <v>3.3216666666666665E-2</v>
      </c>
      <c r="L9" s="129">
        <f t="shared" si="3"/>
        <v>0.1055</v>
      </c>
      <c r="M9" s="129">
        <f t="shared" si="4"/>
        <v>0.10165</v>
      </c>
      <c r="N9" s="129">
        <f t="shared" si="5"/>
        <v>0.1451833333333333</v>
      </c>
      <c r="O9" s="132">
        <f t="shared" si="6"/>
        <v>-3.8200000000000005E-2</v>
      </c>
      <c r="P9" s="127">
        <v>1.1200000000000002E-2</v>
      </c>
      <c r="Q9" s="128">
        <v>2.2000000000000001E-3</v>
      </c>
      <c r="R9" s="128">
        <v>-1.1699999999999999E-2</v>
      </c>
      <c r="S9" s="128">
        <v>-7.7000000000000002E-3</v>
      </c>
      <c r="T9" s="134">
        <v>5.0000000000000001E-4</v>
      </c>
      <c r="U9" s="133">
        <v>5.0000000000000001E-4</v>
      </c>
      <c r="V9" s="134">
        <v>1.4E-3</v>
      </c>
      <c r="W9" s="128">
        <f t="shared" si="7"/>
        <v>-1.0649350649350651</v>
      </c>
      <c r="X9" s="128">
        <f t="shared" si="8"/>
        <v>5.0000000000000001E-3</v>
      </c>
      <c r="Y9" s="128">
        <f t="shared" si="9"/>
        <v>5.2500000000000003E-3</v>
      </c>
      <c r="Z9" s="128">
        <f t="shared" si="10"/>
        <v>9.2833333333333327E-3</v>
      </c>
      <c r="AA9" s="128">
        <f t="shared" si="11"/>
        <v>9.3666666666666672E-3</v>
      </c>
      <c r="AB9" s="128">
        <f t="shared" si="12"/>
        <v>1.1783333333333333E-2</v>
      </c>
      <c r="AC9" s="132">
        <f t="shared" si="13"/>
        <v>-3.2399999999999998E-3</v>
      </c>
      <c r="AD9" s="181"/>
      <c r="AE9" s="181"/>
    </row>
    <row r="10" spans="1:31" ht="15.75" customHeight="1">
      <c r="A10" s="19" t="s">
        <v>39</v>
      </c>
      <c r="B10" s="33"/>
      <c r="C10" s="135">
        <f t="shared" ref="C10:H10" si="14">AVERAGE(C4:C9)</f>
        <v>0.11364999999999999</v>
      </c>
      <c r="D10" s="135">
        <f t="shared" si="14"/>
        <v>3.6599999999999994E-2</v>
      </c>
      <c r="E10" s="135">
        <f t="shared" si="14"/>
        <v>3.3216666666666665E-2</v>
      </c>
      <c r="F10" s="135">
        <f t="shared" si="14"/>
        <v>0.1055</v>
      </c>
      <c r="G10" s="43">
        <f t="shared" si="14"/>
        <v>0.10165</v>
      </c>
      <c r="H10" s="43">
        <f t="shared" si="14"/>
        <v>0.1451833333333333</v>
      </c>
      <c r="I10" s="43"/>
      <c r="J10" s="43"/>
      <c r="K10" s="43"/>
      <c r="L10" s="43"/>
      <c r="M10" s="43"/>
      <c r="N10" s="43"/>
      <c r="O10" s="35"/>
      <c r="P10" s="136">
        <f>AVERAGE(P6:P9)</f>
        <v>1.8325000000000001E-2</v>
      </c>
      <c r="Q10" s="137">
        <f t="shared" ref="Q10:V10" si="15">AVERAGE(Q4:Q9)</f>
        <v>1.2949999999999996E-2</v>
      </c>
      <c r="R10" s="137">
        <f t="shared" si="15"/>
        <v>5.0000000000000001E-3</v>
      </c>
      <c r="S10" s="137">
        <f t="shared" si="15"/>
        <v>5.2500000000000003E-3</v>
      </c>
      <c r="T10" s="137">
        <f t="shared" si="15"/>
        <v>9.2833333333333327E-3</v>
      </c>
      <c r="U10" s="43">
        <f t="shared" si="15"/>
        <v>9.3666666666666672E-3</v>
      </c>
      <c r="V10" s="43">
        <f t="shared" si="15"/>
        <v>1.1783333333333333E-2</v>
      </c>
      <c r="W10" s="43"/>
      <c r="X10" s="135"/>
      <c r="Y10" s="43"/>
      <c r="Z10" s="43"/>
      <c r="AA10" s="43"/>
      <c r="AB10" s="43"/>
      <c r="AC10" s="35"/>
      <c r="AD10" s="181"/>
      <c r="AE10" s="181"/>
    </row>
    <row r="11" spans="1:3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5.75" customHeight="1">
      <c r="A12" s="204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customHeight="1">
      <c r="A13" s="18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.75" customHeight="1">
      <c r="A14" s="18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.75" customHeight="1">
      <c r="A15" s="18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.75" customHeight="1">
      <c r="A16" s="18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.75" customHeight="1">
      <c r="A17" s="18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.75" customHeight="1">
      <c r="A18" s="18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.75" customHeight="1">
      <c r="A19" s="18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5.75" customHeight="1">
      <c r="A20" s="18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.75" customHeight="1">
      <c r="A21" s="18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5.75" customHeight="1">
      <c r="A22" s="18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.75" customHeight="1">
      <c r="A23" s="18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.75" customHeight="1">
      <c r="A24" s="18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.75" customHeight="1">
      <c r="A25" s="18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5.75" customHeight="1">
      <c r="A26" s="18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.75" customHeight="1">
      <c r="A27" s="185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5.75" customHeight="1">
      <c r="A30" s="204" t="s">
        <v>31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.75" customHeight="1">
      <c r="A31" s="18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5.75" customHeight="1">
      <c r="A32" s="18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.75" customHeight="1">
      <c r="A33" s="18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5.75" customHeight="1">
      <c r="A34" s="18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.75" customHeight="1">
      <c r="A35" s="18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.75" customHeight="1">
      <c r="A36" s="18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.75" customHeight="1">
      <c r="A37" s="18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.75" customHeight="1">
      <c r="A38" s="18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.75" customHeight="1">
      <c r="A39" s="18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.75" customHeight="1">
      <c r="A40" s="18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.75" customHeight="1">
      <c r="A41" s="18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.75" customHeight="1">
      <c r="A42" s="18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customHeight="1">
      <c r="A43" s="18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.75" customHeight="1">
      <c r="A44" s="18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.75" customHeight="1">
      <c r="A45" s="18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8">
    <mergeCell ref="AC2:AC3"/>
    <mergeCell ref="A12:A27"/>
    <mergeCell ref="A30:A45"/>
    <mergeCell ref="A2:A3"/>
    <mergeCell ref="B2:H2"/>
    <mergeCell ref="I2:I3"/>
    <mergeCell ref="O2:O3"/>
    <mergeCell ref="P2:W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26.140625" customWidth="1"/>
    <col min="2" max="2" width="14.140625" style="1" customWidth="1"/>
    <col min="3" max="3" width="15.140625" customWidth="1"/>
    <col min="4" max="6" width="12.140625" customWidth="1"/>
    <col min="7" max="8" width="11.5703125" customWidth="1"/>
    <col min="9" max="9" width="11.85546875" style="1" customWidth="1"/>
    <col min="10" max="10" width="11.85546875" customWidth="1"/>
    <col min="11" max="16" width="11.5703125" customWidth="1"/>
    <col min="17" max="26" width="11.5703125" style="1" customWidth="1"/>
  </cols>
  <sheetData>
    <row r="1" spans="1:16" ht="15.75" customHeight="1">
      <c r="A1" s="1" t="s">
        <v>40</v>
      </c>
      <c r="C1" s="1"/>
      <c r="D1" s="1"/>
      <c r="E1" s="1"/>
      <c r="F1" s="1"/>
      <c r="G1" s="1"/>
      <c r="H1" s="1"/>
      <c r="J1" s="1"/>
      <c r="K1" s="1"/>
      <c r="L1" s="1"/>
      <c r="M1" s="1"/>
      <c r="N1" s="1"/>
      <c r="O1" s="1"/>
      <c r="P1" s="1"/>
    </row>
    <row r="2" spans="1:16" ht="15" customHeight="1">
      <c r="A2" s="207" t="s">
        <v>13</v>
      </c>
      <c r="B2" s="207" t="s">
        <v>41</v>
      </c>
      <c r="C2" s="208"/>
      <c r="D2" s="208"/>
      <c r="E2" s="216"/>
      <c r="F2" s="205" t="s">
        <v>42</v>
      </c>
      <c r="G2" s="205" t="s">
        <v>43</v>
      </c>
      <c r="H2" s="214" t="s">
        <v>44</v>
      </c>
      <c r="I2" s="207" t="s">
        <v>45</v>
      </c>
      <c r="J2" s="208"/>
      <c r="K2" s="208"/>
      <c r="L2" s="216"/>
      <c r="M2" s="205" t="s">
        <v>42</v>
      </c>
      <c r="N2" s="205" t="s">
        <v>43</v>
      </c>
      <c r="O2" s="214" t="s">
        <v>44</v>
      </c>
      <c r="P2" s="1"/>
    </row>
    <row r="3" spans="1:16" ht="15.75" customHeight="1">
      <c r="A3" s="215"/>
      <c r="B3" s="118">
        <v>2022</v>
      </c>
      <c r="C3" s="138">
        <v>2023</v>
      </c>
      <c r="D3" s="139">
        <v>2024</v>
      </c>
      <c r="E3" s="138">
        <v>2025</v>
      </c>
      <c r="F3" s="206"/>
      <c r="G3" s="206"/>
      <c r="H3" s="206"/>
      <c r="I3" s="118">
        <v>2022</v>
      </c>
      <c r="J3" s="138">
        <v>2023</v>
      </c>
      <c r="K3" s="139">
        <v>2024</v>
      </c>
      <c r="L3" s="138">
        <v>2025</v>
      </c>
      <c r="M3" s="206"/>
      <c r="N3" s="206"/>
      <c r="O3" s="206"/>
      <c r="P3" s="1"/>
    </row>
    <row r="4" spans="1:16" ht="15.75" customHeight="1">
      <c r="A4" s="126" t="s">
        <v>16</v>
      </c>
      <c r="B4" s="140">
        <v>20749615</v>
      </c>
      <c r="C4" s="140">
        <v>29364593</v>
      </c>
      <c r="D4" s="141">
        <v>27894611</v>
      </c>
      <c r="E4" s="140">
        <v>26200395</v>
      </c>
      <c r="F4" s="142">
        <f t="shared" ref="F4:H4" si="0">(C4-B4)/B4</f>
        <v>0.41518736612703416</v>
      </c>
      <c r="G4" s="142">
        <f t="shared" si="0"/>
        <v>-5.0059675610011012E-2</v>
      </c>
      <c r="H4" s="143">
        <f t="shared" si="0"/>
        <v>-6.0736319284036618E-2</v>
      </c>
      <c r="I4" s="140">
        <v>-6545975</v>
      </c>
      <c r="J4" s="140">
        <v>-13887154</v>
      </c>
      <c r="K4" s="141">
        <v>-11974718</v>
      </c>
      <c r="L4" s="140">
        <v>-10205977</v>
      </c>
      <c r="M4" s="142">
        <f t="shared" ref="M4:O4" si="1">(J4-I4)/I4</f>
        <v>1.1214798406654471</v>
      </c>
      <c r="N4" s="142">
        <f t="shared" si="1"/>
        <v>-0.13771259395553617</v>
      </c>
      <c r="O4" s="144">
        <f t="shared" si="1"/>
        <v>-0.14770627583881307</v>
      </c>
      <c r="P4" s="1"/>
    </row>
    <row r="5" spans="1:16" ht="15.75" customHeight="1">
      <c r="A5" s="126" t="s">
        <v>17</v>
      </c>
      <c r="B5" s="140">
        <v>8006156</v>
      </c>
      <c r="C5" s="140">
        <v>12704109</v>
      </c>
      <c r="D5" s="140">
        <v>12698544</v>
      </c>
      <c r="E5" s="140">
        <v>11740601</v>
      </c>
      <c r="F5" s="142">
        <f t="shared" ref="F5:H5" si="2">(C5-B5)/B5</f>
        <v>0.58679258810345436</v>
      </c>
      <c r="G5" s="142">
        <f t="shared" si="2"/>
        <v>-4.3804724912231154E-4</v>
      </c>
      <c r="H5" s="143">
        <f t="shared" si="2"/>
        <v>-7.5437231229029095E-2</v>
      </c>
      <c r="I5" s="140">
        <v>-3930465</v>
      </c>
      <c r="J5" s="140">
        <v>-8318198</v>
      </c>
      <c r="K5" s="140">
        <v>-8124424</v>
      </c>
      <c r="L5" s="140">
        <v>-7316007</v>
      </c>
      <c r="M5" s="142">
        <f t="shared" ref="M5:O5" si="3">(J5-I5)/I5</f>
        <v>1.116339415310911</v>
      </c>
      <c r="N5" s="142">
        <f t="shared" si="3"/>
        <v>-2.3295189655259469E-2</v>
      </c>
      <c r="O5" s="144">
        <f t="shared" si="3"/>
        <v>-9.9504531028907398E-2</v>
      </c>
      <c r="P5" s="1"/>
    </row>
    <row r="6" spans="1:16" ht="15.75" customHeight="1">
      <c r="A6" s="126" t="s">
        <v>18</v>
      </c>
      <c r="B6" s="140">
        <v>12549136</v>
      </c>
      <c r="C6" s="140">
        <v>17623264</v>
      </c>
      <c r="D6" s="140">
        <v>15311945</v>
      </c>
      <c r="E6" s="140">
        <v>14691179</v>
      </c>
      <c r="F6" s="142">
        <f t="shared" ref="F6:H6" si="4">(C6-B6)/B6</f>
        <v>0.40434082473885052</v>
      </c>
      <c r="G6" s="142">
        <f t="shared" si="4"/>
        <v>-0.13115158463267645</v>
      </c>
      <c r="H6" s="143">
        <f t="shared" si="4"/>
        <v>-4.0541289823076039E-2</v>
      </c>
      <c r="I6" s="140">
        <v>5769851</v>
      </c>
      <c r="J6" s="140">
        <v>11084693</v>
      </c>
      <c r="K6" s="140">
        <v>9269294</v>
      </c>
      <c r="L6" s="140">
        <v>8041645</v>
      </c>
      <c r="M6" s="142">
        <f t="shared" ref="M6:O6" si="5">(J6-I6)/I6</f>
        <v>0.92114025128205212</v>
      </c>
      <c r="N6" s="142">
        <f t="shared" si="5"/>
        <v>-0.16377530708338064</v>
      </c>
      <c r="O6" s="144">
        <f t="shared" si="5"/>
        <v>-0.13244255711384276</v>
      </c>
      <c r="P6" s="1"/>
    </row>
    <row r="7" spans="1:16" ht="15.75" customHeight="1">
      <c r="A7" s="126" t="s">
        <v>19</v>
      </c>
      <c r="B7" s="140">
        <v>4439706</v>
      </c>
      <c r="C7" s="140">
        <v>7327537</v>
      </c>
      <c r="D7" s="140">
        <v>7129728</v>
      </c>
      <c r="E7" s="140">
        <v>6736016</v>
      </c>
      <c r="F7" s="142">
        <f t="shared" ref="F7:H7" si="6">(C7-B7)/B7</f>
        <v>0.65045545808663907</v>
      </c>
      <c r="G7" s="142">
        <f t="shared" si="6"/>
        <v>-2.6995291869559991E-2</v>
      </c>
      <c r="H7" s="143">
        <f t="shared" si="6"/>
        <v>-5.522118094827741E-2</v>
      </c>
      <c r="I7" s="140">
        <v>2420448</v>
      </c>
      <c r="J7" s="140">
        <v>5336507</v>
      </c>
      <c r="K7" s="140">
        <v>5034296</v>
      </c>
      <c r="L7" s="140">
        <v>4578372</v>
      </c>
      <c r="M7" s="142">
        <f t="shared" ref="M7:O7" si="7">(J7-I7)/I7</f>
        <v>1.2047600278956623</v>
      </c>
      <c r="N7" s="142">
        <f t="shared" si="7"/>
        <v>-5.6630863596730974E-2</v>
      </c>
      <c r="O7" s="144">
        <f t="shared" si="7"/>
        <v>-9.0563606112950057E-2</v>
      </c>
      <c r="P7" s="1"/>
    </row>
    <row r="8" spans="1:16" ht="15.75" customHeight="1">
      <c r="A8" s="126" t="s">
        <v>22</v>
      </c>
      <c r="B8" s="140">
        <v>6191960</v>
      </c>
      <c r="C8" s="140">
        <v>11285373</v>
      </c>
      <c r="D8" s="140">
        <v>10295343</v>
      </c>
      <c r="E8" s="140">
        <v>10341419</v>
      </c>
      <c r="F8" s="142">
        <f t="shared" ref="F8:H8" si="8">(C8-B8)/B8</f>
        <v>0.82258493271920363</v>
      </c>
      <c r="G8" s="142">
        <f t="shared" si="8"/>
        <v>-8.7726830118951313E-2</v>
      </c>
      <c r="H8" s="143">
        <f t="shared" si="8"/>
        <v>4.4754215571059649E-3</v>
      </c>
      <c r="I8" s="140">
        <v>-3306989</v>
      </c>
      <c r="J8" s="140">
        <v>-7053602</v>
      </c>
      <c r="K8" s="140">
        <v>-6555853</v>
      </c>
      <c r="L8" s="140">
        <v>-5723802</v>
      </c>
      <c r="M8" s="142">
        <f t="shared" ref="M8:O8" si="9">(J8-I8)/I8</f>
        <v>1.1329378476916616</v>
      </c>
      <c r="N8" s="142">
        <f t="shared" si="9"/>
        <v>-7.0566640987115514E-2</v>
      </c>
      <c r="O8" s="144">
        <f t="shared" si="9"/>
        <v>-0.12691727529583108</v>
      </c>
      <c r="P8" s="1"/>
    </row>
    <row r="9" spans="1:16" ht="15.75" customHeight="1">
      <c r="A9" s="145" t="s">
        <v>23</v>
      </c>
      <c r="B9" s="146">
        <v>2939099</v>
      </c>
      <c r="C9" s="146">
        <v>3433121</v>
      </c>
      <c r="D9" s="146">
        <v>3104696</v>
      </c>
      <c r="E9" s="146">
        <v>3173050</v>
      </c>
      <c r="F9" s="147">
        <f t="shared" ref="F9:H9" si="10">(C9-B9)/B9</f>
        <v>0.16808620601075364</v>
      </c>
      <c r="G9" s="147">
        <f t="shared" si="10"/>
        <v>-9.5663683278276526E-2</v>
      </c>
      <c r="H9" s="12">
        <f t="shared" si="10"/>
        <v>2.2016326236127468E-2</v>
      </c>
      <c r="I9" s="146">
        <v>1748801</v>
      </c>
      <c r="J9" s="146">
        <v>2943645</v>
      </c>
      <c r="K9" s="146">
        <v>2324616</v>
      </c>
      <c r="L9" s="146">
        <v>1988281</v>
      </c>
      <c r="M9" s="147">
        <f t="shared" ref="M9:O9" si="11">(J9-I9)/I9</f>
        <v>0.68323611434348452</v>
      </c>
      <c r="N9" s="147">
        <f t="shared" si="11"/>
        <v>-0.21029336078229541</v>
      </c>
      <c r="O9" s="15">
        <f t="shared" si="11"/>
        <v>-0.14468411126826969</v>
      </c>
      <c r="P9" s="1"/>
    </row>
    <row r="10" spans="1:16" ht="15.75" customHeight="1">
      <c r="A10" s="19" t="s">
        <v>39</v>
      </c>
      <c r="B10" s="148">
        <f t="shared" ref="B10:O10" si="12">AVERAGE(B4:B9)</f>
        <v>9145945.333333334</v>
      </c>
      <c r="C10" s="148">
        <f t="shared" si="12"/>
        <v>13622999.5</v>
      </c>
      <c r="D10" s="148">
        <f t="shared" si="12"/>
        <v>12739144.5</v>
      </c>
      <c r="E10" s="148">
        <f t="shared" si="12"/>
        <v>12147110</v>
      </c>
      <c r="F10" s="135">
        <f t="shared" si="12"/>
        <v>0.50790789596432251</v>
      </c>
      <c r="G10" s="135">
        <f t="shared" si="12"/>
        <v>-6.5339185459766261E-2</v>
      </c>
      <c r="H10" s="21">
        <f t="shared" si="12"/>
        <v>-3.4240712248530952E-2</v>
      </c>
      <c r="I10" s="148">
        <f t="shared" si="12"/>
        <v>-640721.5</v>
      </c>
      <c r="J10" s="148">
        <f t="shared" si="12"/>
        <v>-1649018.1666666667</v>
      </c>
      <c r="K10" s="148">
        <f t="shared" si="12"/>
        <v>-1671131.5</v>
      </c>
      <c r="L10" s="148">
        <f t="shared" si="12"/>
        <v>-1439581.3333333333</v>
      </c>
      <c r="M10" s="135">
        <f t="shared" si="12"/>
        <v>1.0299822495315365</v>
      </c>
      <c r="N10" s="135">
        <f t="shared" si="12"/>
        <v>-0.1103789926767197</v>
      </c>
      <c r="O10" s="21">
        <f t="shared" si="12"/>
        <v>-0.12363639277643568</v>
      </c>
      <c r="P10" s="23"/>
    </row>
    <row r="11" spans="1:16" ht="15.75" customHeight="1">
      <c r="A11" s="1"/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  <c r="O11" s="1"/>
      <c r="P11" s="1"/>
    </row>
    <row r="12" spans="1:16" ht="15.75" customHeight="1">
      <c r="A12" s="212" t="s">
        <v>46</v>
      </c>
      <c r="C12" s="1"/>
      <c r="D12" s="1"/>
      <c r="E12" s="1"/>
      <c r="F12" s="1"/>
      <c r="G12" s="1"/>
      <c r="H12" s="1"/>
      <c r="J12" s="1"/>
      <c r="K12" s="1"/>
      <c r="L12" s="1"/>
      <c r="M12" s="1"/>
      <c r="N12" s="1"/>
      <c r="O12" s="1"/>
      <c r="P12" s="1"/>
    </row>
    <row r="13" spans="1:16" ht="15.75" customHeight="1">
      <c r="A13" s="213"/>
      <c r="C13" s="1"/>
      <c r="D13" s="1"/>
      <c r="E13" s="1"/>
      <c r="F13" s="1"/>
      <c r="G13" s="1"/>
      <c r="H13" s="1"/>
      <c r="J13" s="1"/>
      <c r="K13" s="1"/>
      <c r="L13" s="1"/>
      <c r="M13" s="1"/>
      <c r="N13" s="1"/>
      <c r="O13" s="1"/>
      <c r="P13" s="1"/>
    </row>
    <row r="14" spans="1:16" ht="15.75" customHeight="1">
      <c r="A14" s="213"/>
      <c r="C14" s="1"/>
      <c r="D14" s="1"/>
      <c r="E14" s="1"/>
      <c r="F14" s="1"/>
      <c r="G14" s="1"/>
      <c r="H14" s="1"/>
      <c r="J14" s="1"/>
      <c r="K14" s="1"/>
      <c r="L14" s="1"/>
      <c r="M14" s="1"/>
      <c r="N14" s="1"/>
      <c r="O14" s="1"/>
      <c r="P14" s="1"/>
    </row>
    <row r="15" spans="1:16" ht="15.75" customHeight="1">
      <c r="A15" s="213"/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  <c r="O15" s="1"/>
      <c r="P15" s="1"/>
    </row>
    <row r="16" spans="1:16" ht="15.75" customHeight="1">
      <c r="A16" s="213"/>
      <c r="C16" s="1"/>
      <c r="D16" s="1"/>
      <c r="E16" s="1"/>
      <c r="F16" s="1"/>
      <c r="G16" s="1"/>
      <c r="H16" s="1"/>
      <c r="J16" s="1"/>
      <c r="K16" s="1"/>
      <c r="L16" s="1"/>
      <c r="M16" s="1"/>
      <c r="N16" s="1"/>
      <c r="O16" s="1"/>
      <c r="P16" s="1"/>
    </row>
    <row r="17" spans="1:16" ht="15.75" customHeight="1">
      <c r="A17" s="213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</row>
    <row r="18" spans="1:16" ht="15.75" customHeight="1">
      <c r="A18" s="213"/>
      <c r="C18" s="1"/>
      <c r="D18" s="1"/>
      <c r="E18" s="1"/>
      <c r="F18" s="1"/>
      <c r="G18" s="1"/>
      <c r="H18" s="1"/>
      <c r="J18" s="1"/>
      <c r="K18" s="1"/>
      <c r="L18" s="1"/>
      <c r="M18" s="1"/>
      <c r="N18" s="1"/>
      <c r="O18" s="1"/>
      <c r="P18" s="1"/>
    </row>
    <row r="19" spans="1:16" ht="15.75" customHeight="1">
      <c r="A19" s="213"/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  <c r="O19" s="1"/>
      <c r="P19" s="1"/>
    </row>
    <row r="20" spans="1:16" ht="15.75" customHeight="1">
      <c r="A20" s="213"/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</row>
    <row r="21" spans="1:16" ht="15.75" customHeight="1">
      <c r="A21" s="213"/>
      <c r="C21" s="1"/>
      <c r="D21" s="1"/>
      <c r="E21" s="1"/>
      <c r="F21" s="1"/>
      <c r="G21" s="1"/>
      <c r="H21" s="1"/>
      <c r="J21" s="1"/>
      <c r="K21" s="1"/>
      <c r="L21" s="1"/>
      <c r="M21" s="1"/>
      <c r="N21" s="1"/>
      <c r="O21" s="1"/>
      <c r="P21" s="1"/>
    </row>
    <row r="22" spans="1:16" ht="15.75" customHeight="1">
      <c r="A22" s="213"/>
      <c r="C22" s="1"/>
      <c r="D22" s="1"/>
      <c r="E22" s="1"/>
      <c r="F22" s="1"/>
      <c r="G22" s="1"/>
      <c r="H22" s="1"/>
      <c r="J22" s="1"/>
      <c r="K22" s="1"/>
      <c r="L22" s="1"/>
      <c r="M22" s="1"/>
      <c r="N22" s="1"/>
      <c r="O22" s="1"/>
      <c r="P22" s="1"/>
    </row>
    <row r="23" spans="1:16" ht="15.75" customHeight="1">
      <c r="A23" s="213"/>
      <c r="C23" s="1"/>
      <c r="D23" s="1"/>
      <c r="E23" s="1"/>
      <c r="F23" s="1"/>
      <c r="G23" s="1"/>
      <c r="H23" s="1"/>
      <c r="J23" s="1"/>
      <c r="K23" s="1"/>
      <c r="L23" s="1"/>
      <c r="M23" s="1"/>
      <c r="N23" s="1"/>
      <c r="O23" s="1"/>
      <c r="P23" s="1"/>
    </row>
    <row r="24" spans="1:16" ht="15.75" customHeight="1">
      <c r="A24" s="213"/>
      <c r="C24" s="1"/>
      <c r="D24" s="1"/>
      <c r="E24" s="1"/>
      <c r="F24" s="1"/>
      <c r="G24" s="1"/>
      <c r="H24" s="1"/>
      <c r="J24" s="1"/>
      <c r="K24" s="1"/>
      <c r="L24" s="1"/>
      <c r="M24" s="1"/>
      <c r="N24" s="1"/>
      <c r="O24" s="1"/>
      <c r="P24" s="1"/>
    </row>
    <row r="25" spans="1:16" ht="15.75" customHeight="1">
      <c r="A25" s="213"/>
      <c r="C25" s="1"/>
      <c r="D25" s="1"/>
      <c r="E25" s="1"/>
      <c r="F25" s="1"/>
      <c r="G25" s="1"/>
      <c r="H25" s="1"/>
      <c r="J25" s="1"/>
      <c r="K25" s="1"/>
      <c r="L25" s="1"/>
      <c r="M25" s="1"/>
      <c r="N25" s="1"/>
      <c r="O25" s="1"/>
      <c r="P25" s="1"/>
    </row>
    <row r="26" spans="1:16" ht="15.75" customHeight="1">
      <c r="A26" s="213"/>
      <c r="C26" s="1"/>
      <c r="D26" s="1"/>
      <c r="E26" s="1"/>
      <c r="F26" s="1"/>
      <c r="G26" s="1"/>
      <c r="H26" s="1"/>
      <c r="J26" s="1"/>
      <c r="K26" s="1"/>
      <c r="L26" s="1"/>
      <c r="M26" s="1"/>
      <c r="N26" s="1"/>
      <c r="O26" s="1"/>
      <c r="P26" s="1"/>
    </row>
    <row r="27" spans="1:16" ht="15.75" customHeight="1">
      <c r="A27" s="1"/>
      <c r="C27" s="1"/>
      <c r="D27" s="1"/>
      <c r="E27" s="1"/>
      <c r="F27" s="1"/>
      <c r="G27" s="1"/>
      <c r="H27" s="1"/>
      <c r="J27" s="1"/>
      <c r="K27" s="1"/>
      <c r="L27" s="1"/>
      <c r="M27" s="1"/>
      <c r="N27" s="1"/>
      <c r="O27" s="1"/>
      <c r="P27" s="1"/>
    </row>
    <row r="28" spans="1:16" ht="15.75" customHeight="1">
      <c r="A28" s="1"/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  <c r="O28" s="1"/>
      <c r="P28" s="1"/>
    </row>
    <row r="29" spans="1:16" ht="15.75" customHeight="1">
      <c r="A29" s="1"/>
      <c r="C29" s="1"/>
      <c r="D29" s="1"/>
      <c r="E29" s="1"/>
      <c r="F29" s="1"/>
      <c r="G29" s="1"/>
      <c r="H29" s="1"/>
      <c r="J29" s="1"/>
      <c r="K29" s="1"/>
      <c r="L29" s="1"/>
      <c r="M29" s="1"/>
      <c r="N29" s="1"/>
      <c r="O29" s="1"/>
      <c r="P29" s="1"/>
    </row>
    <row r="30" spans="1:16" ht="15.75" customHeight="1">
      <c r="A30" s="1"/>
      <c r="C30" s="1"/>
      <c r="D30" s="1"/>
      <c r="E30" s="1"/>
      <c r="F30" s="1"/>
      <c r="G30" s="1"/>
      <c r="H30" s="1"/>
      <c r="J30" s="1"/>
      <c r="K30" s="1"/>
      <c r="L30" s="1"/>
      <c r="M30" s="1"/>
      <c r="N30" s="1"/>
      <c r="O30" s="1"/>
      <c r="P30" s="1"/>
    </row>
    <row r="31" spans="1:16" ht="15.75" customHeight="1">
      <c r="A31" s="1"/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  <c r="O31" s="1"/>
      <c r="P31" s="1"/>
    </row>
    <row r="32" spans="1:16" ht="15.75" customHeight="1">
      <c r="A32" s="1"/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  <c r="O32" s="1"/>
      <c r="P32" s="1"/>
    </row>
    <row r="33" spans="1:16" ht="15.75" customHeight="1">
      <c r="A33" s="1"/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  <c r="O33" s="1"/>
      <c r="P33" s="1"/>
    </row>
    <row r="34" spans="1:16" ht="15.75" customHeight="1">
      <c r="A34" s="1"/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</row>
    <row r="35" spans="1:16" ht="15.75" customHeight="1">
      <c r="A35" s="1"/>
      <c r="C35" s="1"/>
      <c r="D35" s="1"/>
      <c r="E35" s="1"/>
      <c r="F35" s="1"/>
      <c r="G35" s="1"/>
      <c r="H35" s="1"/>
      <c r="J35" s="1"/>
      <c r="K35" s="1"/>
      <c r="L35" s="1"/>
      <c r="M35" s="1"/>
      <c r="N35" s="1"/>
      <c r="O35" s="1"/>
      <c r="P35" s="1"/>
    </row>
    <row r="36" spans="1:16" ht="15.75" customHeight="1">
      <c r="A36" s="1"/>
      <c r="C36" s="1"/>
      <c r="D36" s="1"/>
      <c r="E36" s="1"/>
      <c r="F36" s="1"/>
      <c r="G36" s="1"/>
      <c r="H36" s="1"/>
      <c r="J36" s="1"/>
      <c r="K36" s="1"/>
      <c r="L36" s="1"/>
      <c r="M36" s="1"/>
      <c r="N36" s="1"/>
      <c r="O36" s="1"/>
      <c r="P36" s="1"/>
    </row>
    <row r="37" spans="1:16" ht="15.75" customHeight="1">
      <c r="A37" s="1"/>
      <c r="C37" s="1"/>
      <c r="D37" s="1"/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</row>
    <row r="38" spans="1:16" ht="15.75" customHeight="1">
      <c r="A38" s="1"/>
      <c r="C38" s="1"/>
      <c r="D38" s="1"/>
      <c r="E38" s="1"/>
      <c r="F38" s="1"/>
      <c r="G38" s="1"/>
      <c r="H38" s="1"/>
      <c r="J38" s="1"/>
      <c r="K38" s="1"/>
      <c r="L38" s="1"/>
      <c r="M38" s="1"/>
      <c r="N38" s="1"/>
      <c r="O38" s="1"/>
      <c r="P38" s="1"/>
    </row>
    <row r="39" spans="1:16" ht="15.75" customHeight="1">
      <c r="A39" s="1"/>
      <c r="C39" s="1"/>
      <c r="D39" s="1"/>
      <c r="E39" s="1"/>
      <c r="F39" s="1"/>
      <c r="G39" s="1"/>
      <c r="H39" s="1"/>
      <c r="J39" s="1"/>
      <c r="K39" s="1"/>
      <c r="L39" s="1"/>
      <c r="M39" s="1"/>
      <c r="N39" s="1"/>
      <c r="O39" s="1"/>
      <c r="P39" s="1"/>
    </row>
    <row r="40" spans="1:16" ht="15.75" customHeight="1">
      <c r="A40" s="1"/>
      <c r="C40" s="1"/>
      <c r="D40" s="1"/>
      <c r="E40" s="1"/>
      <c r="F40" s="1"/>
      <c r="G40" s="1"/>
      <c r="H40" s="1"/>
      <c r="J40" s="1"/>
      <c r="K40" s="1"/>
      <c r="L40" s="1"/>
      <c r="M40" s="1"/>
      <c r="N40" s="1"/>
      <c r="O40" s="1"/>
      <c r="P40" s="1"/>
    </row>
    <row r="41" spans="1:16" ht="15.75" customHeight="1">
      <c r="A41" s="1"/>
      <c r="C41" s="1"/>
      <c r="D41" s="1"/>
      <c r="E41" s="1"/>
      <c r="F41" s="1"/>
      <c r="G41" s="1"/>
      <c r="H41" s="1"/>
      <c r="J41" s="1"/>
      <c r="K41" s="1"/>
      <c r="L41" s="1"/>
      <c r="M41" s="1"/>
      <c r="N41" s="1"/>
      <c r="O41" s="1"/>
      <c r="P41" s="1"/>
    </row>
    <row r="42" spans="1:16" ht="15.75" customHeight="1">
      <c r="A42" s="1"/>
      <c r="C42" s="1"/>
      <c r="D42" s="1"/>
      <c r="E42" s="1"/>
      <c r="F42" s="1"/>
      <c r="G42" s="1"/>
      <c r="H42" s="1"/>
      <c r="J42" s="1"/>
      <c r="K42" s="1"/>
      <c r="L42" s="1"/>
      <c r="M42" s="1"/>
      <c r="N42" s="1"/>
      <c r="O42" s="1"/>
      <c r="P42" s="1"/>
    </row>
    <row r="43" spans="1:16" ht="15.75" customHeight="1">
      <c r="A43" s="1"/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  <c r="O43" s="1"/>
      <c r="P43" s="1"/>
    </row>
    <row r="44" spans="1:16" ht="15.75" customHeight="1">
      <c r="A44" s="1"/>
      <c r="C44" s="1"/>
      <c r="D44" s="1"/>
      <c r="E44" s="1"/>
      <c r="F44" s="1"/>
      <c r="G44" s="1"/>
      <c r="H44" s="1"/>
      <c r="J44" s="1"/>
      <c r="K44" s="1"/>
      <c r="L44" s="1"/>
      <c r="M44" s="1"/>
      <c r="N44" s="1"/>
      <c r="O44" s="1"/>
      <c r="P44" s="1"/>
    </row>
    <row r="45" spans="1:16" ht="15.75" customHeight="1">
      <c r="A45" s="1"/>
      <c r="C45" s="1"/>
      <c r="D45" s="1"/>
      <c r="E45" s="1"/>
      <c r="F45" s="1"/>
      <c r="G45" s="1"/>
      <c r="H45" s="1"/>
      <c r="J45" s="1"/>
      <c r="K45" s="1"/>
      <c r="L45" s="1"/>
      <c r="M45" s="1"/>
      <c r="N45" s="1"/>
      <c r="O45" s="1"/>
      <c r="P45" s="1"/>
    </row>
    <row r="46" spans="1:16" ht="15.75" customHeight="1">
      <c r="A46" s="1"/>
      <c r="C46" s="1"/>
      <c r="D46" s="1"/>
      <c r="E46" s="1"/>
      <c r="F46" s="1"/>
      <c r="G46" s="1"/>
      <c r="H46" s="1"/>
      <c r="J46" s="1"/>
      <c r="K46" s="1"/>
      <c r="L46" s="1"/>
      <c r="M46" s="1"/>
      <c r="N46" s="1"/>
      <c r="O46" s="1"/>
      <c r="P46" s="1"/>
    </row>
    <row r="47" spans="1:16" ht="15.75" customHeight="1">
      <c r="A47" s="1"/>
      <c r="C47" s="1"/>
      <c r="D47" s="1"/>
      <c r="E47" s="1"/>
      <c r="F47" s="1"/>
      <c r="G47" s="1"/>
      <c r="H47" s="1"/>
      <c r="J47" s="1"/>
      <c r="K47" s="1"/>
      <c r="L47" s="1"/>
      <c r="M47" s="1"/>
      <c r="N47" s="1"/>
      <c r="O47" s="1"/>
      <c r="P47" s="1"/>
    </row>
    <row r="48" spans="1:16" ht="15.75" customHeight="1">
      <c r="A48" s="1"/>
      <c r="C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</row>
    <row r="49" spans="1:16" ht="15.75" customHeight="1">
      <c r="A49" s="1"/>
      <c r="C49" s="1"/>
      <c r="D49" s="1"/>
      <c r="E49" s="1"/>
      <c r="F49" s="1"/>
      <c r="G49" s="1"/>
      <c r="H49" s="1"/>
      <c r="J49" s="1"/>
      <c r="K49" s="1"/>
      <c r="L49" s="1"/>
      <c r="M49" s="1"/>
      <c r="N49" s="1"/>
      <c r="O49" s="1"/>
      <c r="P49" s="1"/>
    </row>
    <row r="50" spans="1:16" ht="15.75" customHeight="1">
      <c r="A50" s="1"/>
      <c r="C50" s="1"/>
      <c r="D50" s="1"/>
      <c r="E50" s="1"/>
      <c r="F50" s="1"/>
      <c r="G50" s="1"/>
      <c r="H50" s="1"/>
      <c r="J50" s="1"/>
      <c r="K50" s="1"/>
      <c r="L50" s="1"/>
      <c r="M50" s="1"/>
      <c r="N50" s="1"/>
      <c r="O50" s="1"/>
      <c r="P50" s="1"/>
    </row>
    <row r="51" spans="1:16" ht="15.75" customHeight="1">
      <c r="A51" s="1"/>
      <c r="C51" s="1"/>
      <c r="D51" s="1"/>
      <c r="E51" s="1"/>
      <c r="F51" s="1"/>
      <c r="G51" s="1"/>
      <c r="H51" s="1"/>
      <c r="J51" s="1"/>
      <c r="K51" s="1"/>
      <c r="L51" s="1"/>
      <c r="M51" s="1"/>
      <c r="N51" s="1"/>
      <c r="O51" s="1"/>
      <c r="P51" s="1"/>
    </row>
    <row r="52" spans="1:16" ht="15.75" customHeight="1">
      <c r="A52" s="1"/>
      <c r="C52" s="1"/>
      <c r="D52" s="1"/>
      <c r="E52" s="1"/>
      <c r="F52" s="1"/>
      <c r="G52" s="1"/>
      <c r="H52" s="1"/>
      <c r="J52" s="1"/>
      <c r="K52" s="1"/>
      <c r="L52" s="1"/>
      <c r="M52" s="1"/>
      <c r="N52" s="1"/>
      <c r="O52" s="1"/>
      <c r="P52" s="1"/>
    </row>
    <row r="53" spans="1:16" ht="15.75" customHeight="1">
      <c r="A53" s="1"/>
      <c r="C53" s="1"/>
      <c r="D53" s="1"/>
      <c r="E53" s="1"/>
      <c r="F53" s="1"/>
      <c r="G53" s="1"/>
      <c r="H53" s="1"/>
      <c r="J53" s="1"/>
      <c r="K53" s="1"/>
      <c r="L53" s="1"/>
      <c r="M53" s="1"/>
      <c r="N53" s="1"/>
      <c r="O53" s="1"/>
      <c r="P53" s="1"/>
    </row>
    <row r="54" spans="1:16" ht="15.75" customHeight="1">
      <c r="A54" s="1"/>
      <c r="C54" s="1"/>
      <c r="D54" s="1"/>
      <c r="E54" s="1"/>
      <c r="F54" s="1"/>
      <c r="G54" s="1"/>
      <c r="H54" s="1"/>
      <c r="J54" s="1"/>
      <c r="K54" s="1"/>
      <c r="L54" s="1"/>
      <c r="M54" s="1"/>
      <c r="N54" s="1"/>
      <c r="O54" s="1"/>
      <c r="P54" s="1"/>
    </row>
    <row r="55" spans="1:16" ht="15.75" customHeight="1">
      <c r="A55" s="1"/>
      <c r="C55" s="1"/>
      <c r="D55" s="1"/>
      <c r="E55" s="1"/>
      <c r="F55" s="1"/>
      <c r="G55" s="1"/>
      <c r="H55" s="1"/>
      <c r="J55" s="1"/>
      <c r="K55" s="1"/>
      <c r="L55" s="1"/>
      <c r="M55" s="1"/>
      <c r="N55" s="1"/>
      <c r="O55" s="1"/>
      <c r="P55" s="1"/>
    </row>
    <row r="56" spans="1:16" ht="15.75" customHeight="1">
      <c r="A56" s="1"/>
      <c r="C56" s="1"/>
      <c r="D56" s="1"/>
      <c r="E56" s="1"/>
      <c r="F56" s="1"/>
      <c r="G56" s="1"/>
      <c r="H56" s="1"/>
      <c r="J56" s="1"/>
      <c r="K56" s="1"/>
      <c r="L56" s="1"/>
      <c r="M56" s="1"/>
      <c r="N56" s="1"/>
      <c r="O56" s="1"/>
      <c r="P56" s="1"/>
    </row>
    <row r="57" spans="1:16" ht="15.75" customHeight="1">
      <c r="A57" s="1"/>
      <c r="C57" s="1"/>
      <c r="D57" s="1"/>
      <c r="E57" s="1"/>
      <c r="F57" s="1"/>
      <c r="G57" s="1"/>
      <c r="H57" s="1"/>
      <c r="J57" s="1"/>
      <c r="K57" s="1"/>
      <c r="L57" s="1"/>
      <c r="M57" s="1"/>
      <c r="N57" s="1"/>
      <c r="O57" s="1"/>
      <c r="P57" s="1"/>
    </row>
    <row r="58" spans="1:16" ht="15.75" customHeight="1">
      <c r="A58" s="1"/>
      <c r="C58" s="1"/>
      <c r="D58" s="1"/>
      <c r="E58" s="1"/>
      <c r="F58" s="1"/>
      <c r="G58" s="1"/>
      <c r="H58" s="1"/>
      <c r="J58" s="1"/>
      <c r="K58" s="1"/>
      <c r="L58" s="1"/>
      <c r="M58" s="1"/>
      <c r="N58" s="1"/>
      <c r="O58" s="1"/>
      <c r="P58" s="1"/>
    </row>
    <row r="59" spans="1:16" ht="15.75" customHeight="1">
      <c r="A59" s="1"/>
      <c r="C59" s="1"/>
      <c r="D59" s="1"/>
      <c r="E59" s="1"/>
      <c r="F59" s="1"/>
      <c r="G59" s="1"/>
      <c r="H59" s="1"/>
      <c r="J59" s="1"/>
      <c r="K59" s="1"/>
      <c r="L59" s="1"/>
      <c r="M59" s="1"/>
      <c r="N59" s="1"/>
      <c r="O59" s="1"/>
      <c r="P59" s="1"/>
    </row>
    <row r="60" spans="1:16" ht="15.75" customHeight="1">
      <c r="A60" s="1"/>
      <c r="C60" s="1"/>
      <c r="D60" s="1"/>
      <c r="E60" s="1"/>
      <c r="F60" s="1"/>
      <c r="G60" s="1"/>
      <c r="H60" s="1"/>
      <c r="J60" s="1"/>
      <c r="K60" s="1"/>
      <c r="L60" s="1"/>
      <c r="M60" s="1"/>
      <c r="N60" s="1"/>
      <c r="O60" s="1"/>
      <c r="P60" s="1"/>
    </row>
    <row r="61" spans="1:16" ht="15.75" customHeight="1">
      <c r="A61" s="1"/>
      <c r="C61" s="1"/>
      <c r="D61" s="1"/>
      <c r="E61" s="1"/>
      <c r="F61" s="1"/>
      <c r="G61" s="1"/>
      <c r="H61" s="1"/>
      <c r="J61" s="1"/>
      <c r="K61" s="1"/>
      <c r="L61" s="1"/>
      <c r="M61" s="1"/>
      <c r="N61" s="1"/>
      <c r="O61" s="1"/>
      <c r="P61" s="1"/>
    </row>
    <row r="62" spans="1:16" ht="15.75" customHeight="1">
      <c r="A62" s="1"/>
      <c r="C62" s="1"/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</row>
    <row r="63" spans="1:16" ht="15.75" customHeight="1">
      <c r="A63" s="1"/>
      <c r="C63" s="1"/>
      <c r="D63" s="1"/>
      <c r="E63" s="1"/>
      <c r="F63" s="1"/>
      <c r="G63" s="1"/>
      <c r="H63" s="1"/>
      <c r="J63" s="1"/>
      <c r="K63" s="1"/>
      <c r="L63" s="1"/>
      <c r="M63" s="1"/>
      <c r="N63" s="1"/>
      <c r="O63" s="1"/>
      <c r="P63" s="1"/>
    </row>
    <row r="64" spans="1:16" ht="15.75" customHeight="1">
      <c r="A64" s="1"/>
      <c r="C64" s="1"/>
      <c r="D64" s="1"/>
      <c r="E64" s="1"/>
      <c r="F64" s="1"/>
      <c r="G64" s="1"/>
      <c r="H64" s="1"/>
      <c r="J64" s="1"/>
      <c r="K64" s="1"/>
      <c r="L64" s="1"/>
      <c r="M64" s="1"/>
      <c r="N64" s="1"/>
      <c r="O64" s="1"/>
      <c r="P64" s="1"/>
    </row>
    <row r="65" spans="1:16" ht="15.75" customHeight="1">
      <c r="A65" s="1"/>
      <c r="C65" s="1"/>
      <c r="D65" s="1"/>
      <c r="E65" s="1"/>
      <c r="F65" s="1"/>
      <c r="G65" s="1"/>
      <c r="H65" s="1"/>
      <c r="J65" s="1"/>
      <c r="K65" s="1"/>
      <c r="L65" s="1"/>
      <c r="M65" s="1"/>
      <c r="N65" s="1"/>
      <c r="O65" s="1"/>
      <c r="P65" s="1"/>
    </row>
    <row r="66" spans="1:16" ht="15.75" customHeight="1">
      <c r="A66" s="1"/>
      <c r="C66" s="1"/>
      <c r="D66" s="1"/>
      <c r="E66" s="1"/>
      <c r="F66" s="1"/>
      <c r="G66" s="1"/>
      <c r="H66" s="1"/>
      <c r="J66" s="1"/>
      <c r="K66" s="1"/>
      <c r="L66" s="1"/>
      <c r="M66" s="1"/>
      <c r="N66" s="1"/>
      <c r="O66" s="1"/>
      <c r="P66" s="1"/>
    </row>
    <row r="67" spans="1:16" ht="15.75" customHeight="1">
      <c r="A67" s="1"/>
      <c r="C67" s="1"/>
      <c r="D67" s="1"/>
      <c r="E67" s="1"/>
      <c r="F67" s="1"/>
      <c r="G67" s="1"/>
      <c r="H67" s="1"/>
      <c r="J67" s="1"/>
      <c r="K67" s="1"/>
      <c r="L67" s="1"/>
      <c r="M67" s="1"/>
      <c r="N67" s="1"/>
      <c r="O67" s="1"/>
      <c r="P67" s="1"/>
    </row>
    <row r="68" spans="1:16" ht="15.75" customHeight="1">
      <c r="A68" s="1"/>
      <c r="C68" s="1"/>
      <c r="D68" s="1"/>
      <c r="E68" s="1"/>
      <c r="F68" s="1"/>
      <c r="G68" s="1"/>
      <c r="H68" s="1"/>
      <c r="J68" s="1"/>
      <c r="K68" s="1"/>
      <c r="L68" s="1"/>
      <c r="M68" s="1"/>
      <c r="N68" s="1"/>
      <c r="O68" s="1"/>
      <c r="P68" s="1"/>
    </row>
    <row r="69" spans="1:16" ht="15.75" customHeight="1">
      <c r="A69" s="1"/>
      <c r="C69" s="1"/>
      <c r="D69" s="1"/>
      <c r="E69" s="1"/>
      <c r="F69" s="1"/>
      <c r="G69" s="1"/>
      <c r="H69" s="1"/>
      <c r="J69" s="1"/>
      <c r="K69" s="1"/>
      <c r="L69" s="1"/>
      <c r="M69" s="1"/>
      <c r="N69" s="1"/>
      <c r="O69" s="1"/>
      <c r="P69" s="1"/>
    </row>
    <row r="70" spans="1:16" ht="15.75" customHeight="1">
      <c r="A70" s="1"/>
      <c r="C70" s="1"/>
      <c r="D70" s="1"/>
      <c r="E70" s="1"/>
      <c r="F70" s="1"/>
      <c r="G70" s="1"/>
      <c r="H70" s="1"/>
      <c r="J70" s="1"/>
      <c r="K70" s="1"/>
      <c r="L70" s="1"/>
      <c r="M70" s="1"/>
      <c r="N70" s="1"/>
      <c r="O70" s="1"/>
      <c r="P70" s="1"/>
    </row>
    <row r="71" spans="1:16" ht="15.75" customHeight="1">
      <c r="A71" s="1"/>
      <c r="C71" s="1"/>
      <c r="D71" s="1"/>
      <c r="E71" s="1"/>
      <c r="F71" s="1"/>
      <c r="G71" s="1"/>
      <c r="H71" s="1"/>
      <c r="J71" s="1"/>
      <c r="K71" s="1"/>
      <c r="L71" s="1"/>
      <c r="M71" s="1"/>
      <c r="N71" s="1"/>
      <c r="O71" s="1"/>
      <c r="P71" s="1"/>
    </row>
    <row r="72" spans="1:16" ht="15.75" customHeight="1">
      <c r="A72" s="1"/>
      <c r="C72" s="1"/>
      <c r="D72" s="1"/>
      <c r="E72" s="1"/>
      <c r="F72" s="1"/>
      <c r="G72" s="1"/>
      <c r="H72" s="1"/>
      <c r="J72" s="1"/>
      <c r="K72" s="1"/>
      <c r="L72" s="1"/>
      <c r="M72" s="1"/>
      <c r="N72" s="1"/>
      <c r="O72" s="1"/>
      <c r="P72" s="1"/>
    </row>
    <row r="73" spans="1:16" ht="15.75" customHeight="1">
      <c r="A73" s="1"/>
      <c r="C73" s="1"/>
      <c r="D73" s="1"/>
      <c r="E73" s="1"/>
      <c r="F73" s="1"/>
      <c r="G73" s="1"/>
      <c r="H73" s="1"/>
      <c r="J73" s="1"/>
      <c r="K73" s="1"/>
      <c r="L73" s="1"/>
      <c r="M73" s="1"/>
      <c r="N73" s="1"/>
      <c r="O73" s="1"/>
      <c r="P73" s="1"/>
    </row>
    <row r="74" spans="1:16" ht="15.75" customHeight="1">
      <c r="A74" s="1"/>
      <c r="C74" s="1"/>
      <c r="D74" s="1"/>
      <c r="E74" s="1"/>
      <c r="F74" s="1"/>
      <c r="G74" s="1"/>
      <c r="H74" s="1"/>
      <c r="J74" s="1"/>
      <c r="K74" s="1"/>
      <c r="L74" s="1"/>
      <c r="M74" s="1"/>
      <c r="N74" s="1"/>
      <c r="O74" s="1"/>
      <c r="P74" s="1"/>
    </row>
    <row r="75" spans="1:16" ht="15.75" customHeight="1">
      <c r="A75" s="1"/>
      <c r="C75" s="1"/>
      <c r="D75" s="1"/>
      <c r="E75" s="1"/>
      <c r="F75" s="1"/>
      <c r="G75" s="1"/>
      <c r="H75" s="1"/>
      <c r="J75" s="1"/>
      <c r="K75" s="1"/>
      <c r="L75" s="1"/>
      <c r="M75" s="1"/>
      <c r="N75" s="1"/>
      <c r="O75" s="1"/>
      <c r="P75" s="1"/>
    </row>
    <row r="76" spans="1:16" ht="15.75" customHeight="1">
      <c r="A76" s="1"/>
      <c r="C76" s="1"/>
      <c r="D76" s="1"/>
      <c r="E76" s="1"/>
      <c r="F76" s="1"/>
      <c r="G76" s="1"/>
      <c r="H76" s="1"/>
      <c r="J76" s="1"/>
      <c r="K76" s="1"/>
      <c r="L76" s="1"/>
      <c r="M76" s="1"/>
      <c r="N76" s="1"/>
      <c r="O76" s="1"/>
      <c r="P76" s="1"/>
    </row>
    <row r="77" spans="1:16" ht="15.75" customHeight="1">
      <c r="A77" s="1"/>
      <c r="C77" s="1"/>
      <c r="D77" s="1"/>
      <c r="E77" s="1"/>
      <c r="F77" s="1"/>
      <c r="G77" s="1"/>
      <c r="H77" s="1"/>
      <c r="J77" s="1"/>
      <c r="K77" s="1"/>
      <c r="L77" s="1"/>
      <c r="M77" s="1"/>
      <c r="N77" s="1"/>
      <c r="O77" s="1"/>
      <c r="P77" s="1"/>
    </row>
    <row r="78" spans="1:16" ht="15.75" customHeight="1">
      <c r="A78" s="1"/>
      <c r="C78" s="1"/>
      <c r="D78" s="1"/>
      <c r="E78" s="1"/>
      <c r="F78" s="1"/>
      <c r="G78" s="1"/>
      <c r="H78" s="1"/>
      <c r="J78" s="1"/>
      <c r="K78" s="1"/>
      <c r="L78" s="1"/>
      <c r="M78" s="1"/>
      <c r="N78" s="1"/>
      <c r="O78" s="1"/>
      <c r="P78" s="1"/>
    </row>
    <row r="79" spans="1:16" ht="15.75" customHeight="1">
      <c r="A79" s="1"/>
      <c r="C79" s="1"/>
      <c r="D79" s="1"/>
      <c r="E79" s="1"/>
      <c r="F79" s="1"/>
      <c r="G79" s="1"/>
      <c r="H79" s="1"/>
      <c r="J79" s="1"/>
      <c r="K79" s="1"/>
      <c r="L79" s="1"/>
      <c r="M79" s="1"/>
      <c r="N79" s="1"/>
      <c r="O79" s="1"/>
      <c r="P79" s="1"/>
    </row>
    <row r="80" spans="1:16" ht="15.75" customHeight="1">
      <c r="A80" s="1"/>
      <c r="C80" s="1"/>
      <c r="D80" s="1"/>
      <c r="E80" s="1"/>
      <c r="F80" s="1"/>
      <c r="G80" s="1"/>
      <c r="H80" s="1"/>
      <c r="J80" s="1"/>
      <c r="K80" s="1"/>
      <c r="L80" s="1"/>
      <c r="M80" s="1"/>
      <c r="N80" s="1"/>
      <c r="O80" s="1"/>
      <c r="P80" s="1"/>
    </row>
    <row r="81" spans="1:16" ht="15.75" customHeight="1">
      <c r="A81" s="1"/>
      <c r="C81" s="1"/>
      <c r="D81" s="1"/>
      <c r="E81" s="1"/>
      <c r="F81" s="1"/>
      <c r="G81" s="1"/>
      <c r="H81" s="1"/>
      <c r="J81" s="1"/>
      <c r="K81" s="1"/>
      <c r="L81" s="1"/>
      <c r="M81" s="1"/>
      <c r="N81" s="1"/>
      <c r="O81" s="1"/>
      <c r="P81" s="1"/>
    </row>
    <row r="82" spans="1:16" ht="15.75" customHeight="1">
      <c r="A82" s="1"/>
      <c r="C82" s="1"/>
      <c r="D82" s="1"/>
      <c r="E82" s="1"/>
      <c r="F82" s="1"/>
      <c r="G82" s="1"/>
      <c r="H82" s="1"/>
      <c r="J82" s="1"/>
      <c r="K82" s="1"/>
      <c r="L82" s="1"/>
      <c r="M82" s="1"/>
      <c r="N82" s="1"/>
      <c r="O82" s="1"/>
      <c r="P82" s="1"/>
    </row>
    <row r="83" spans="1:16" ht="15.75" customHeight="1">
      <c r="A83" s="1"/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</row>
    <row r="84" spans="1:16" ht="15.75" customHeight="1">
      <c r="A84" s="1"/>
      <c r="C84" s="1"/>
      <c r="D84" s="1"/>
      <c r="E84" s="1"/>
      <c r="F84" s="1"/>
      <c r="G84" s="1"/>
      <c r="H84" s="1"/>
      <c r="J84" s="1"/>
      <c r="K84" s="1"/>
      <c r="L84" s="1"/>
      <c r="M84" s="1"/>
      <c r="N84" s="1"/>
      <c r="O84" s="1"/>
      <c r="P84" s="1"/>
    </row>
    <row r="85" spans="1:16" ht="15.75" customHeight="1">
      <c r="A85" s="1"/>
      <c r="C85" s="1"/>
      <c r="D85" s="1"/>
      <c r="E85" s="1"/>
      <c r="F85" s="1"/>
      <c r="G85" s="1"/>
      <c r="H85" s="1"/>
      <c r="J85" s="1"/>
      <c r="K85" s="1"/>
      <c r="L85" s="1"/>
      <c r="M85" s="1"/>
      <c r="N85" s="1"/>
      <c r="O85" s="1"/>
      <c r="P85" s="1"/>
    </row>
    <row r="86" spans="1:16" ht="15.75" customHeight="1">
      <c r="A86" s="1"/>
      <c r="C86" s="1"/>
      <c r="D86" s="1"/>
      <c r="E86" s="1"/>
      <c r="F86" s="1"/>
      <c r="G86" s="1"/>
      <c r="H86" s="1"/>
      <c r="J86" s="1"/>
      <c r="K86" s="1"/>
      <c r="L86" s="1"/>
      <c r="M86" s="1"/>
      <c r="N86" s="1"/>
      <c r="O86" s="1"/>
      <c r="P86" s="1"/>
    </row>
    <row r="87" spans="1:16" ht="15.75" customHeight="1">
      <c r="A87" s="1"/>
      <c r="C87" s="1"/>
      <c r="D87" s="1"/>
      <c r="E87" s="1"/>
      <c r="F87" s="1"/>
      <c r="G87" s="1"/>
      <c r="H87" s="1"/>
      <c r="J87" s="1"/>
      <c r="K87" s="1"/>
      <c r="L87" s="1"/>
      <c r="M87" s="1"/>
      <c r="N87" s="1"/>
      <c r="O87" s="1"/>
      <c r="P87" s="1"/>
    </row>
    <row r="88" spans="1:16" ht="15.75" customHeight="1">
      <c r="A88" s="1"/>
      <c r="C88" s="1"/>
      <c r="D88" s="1"/>
      <c r="E88" s="1"/>
      <c r="F88" s="1"/>
      <c r="G88" s="1"/>
      <c r="H88" s="1"/>
      <c r="J88" s="1"/>
      <c r="K88" s="1"/>
      <c r="L88" s="1"/>
      <c r="M88" s="1"/>
      <c r="N88" s="1"/>
      <c r="O88" s="1"/>
      <c r="P88" s="1"/>
    </row>
    <row r="89" spans="1:16" ht="15.75" customHeight="1">
      <c r="A89" s="1"/>
      <c r="C89" s="1"/>
      <c r="D89" s="1"/>
      <c r="E89" s="1"/>
      <c r="F89" s="1"/>
      <c r="G89" s="1"/>
      <c r="H89" s="1"/>
      <c r="J89" s="1"/>
      <c r="K89" s="1"/>
      <c r="L89" s="1"/>
      <c r="M89" s="1"/>
      <c r="N89" s="1"/>
      <c r="O89" s="1"/>
      <c r="P89" s="1"/>
    </row>
    <row r="90" spans="1:16" ht="15.75" customHeight="1">
      <c r="A90" s="1"/>
      <c r="C90" s="1"/>
      <c r="D90" s="1"/>
      <c r="E90" s="1"/>
      <c r="F90" s="1"/>
      <c r="G90" s="1"/>
      <c r="H90" s="1"/>
      <c r="J90" s="1"/>
      <c r="K90" s="1"/>
      <c r="L90" s="1"/>
      <c r="M90" s="1"/>
      <c r="N90" s="1"/>
      <c r="O90" s="1"/>
      <c r="P90" s="1"/>
    </row>
    <row r="91" spans="1:16" ht="15.75" customHeight="1">
      <c r="A91" s="1"/>
      <c r="C91" s="1"/>
      <c r="D91" s="1"/>
      <c r="E91" s="1"/>
      <c r="F91" s="1"/>
      <c r="G91" s="1"/>
      <c r="H91" s="1"/>
      <c r="J91" s="1"/>
      <c r="K91" s="1"/>
      <c r="L91" s="1"/>
      <c r="M91" s="1"/>
      <c r="N91" s="1"/>
      <c r="O91" s="1"/>
      <c r="P91" s="1"/>
    </row>
    <row r="92" spans="1:16" ht="15.75" customHeight="1">
      <c r="A92" s="1"/>
      <c r="C92" s="1"/>
      <c r="D92" s="1"/>
      <c r="E92" s="1"/>
      <c r="F92" s="1"/>
      <c r="G92" s="1"/>
      <c r="H92" s="1"/>
      <c r="J92" s="1"/>
      <c r="K92" s="1"/>
      <c r="L92" s="1"/>
      <c r="M92" s="1"/>
      <c r="N92" s="1"/>
      <c r="O92" s="1"/>
      <c r="P92" s="1"/>
    </row>
    <row r="93" spans="1:16" ht="15.75" customHeight="1">
      <c r="A93" s="1"/>
      <c r="C93" s="1"/>
      <c r="D93" s="1"/>
      <c r="E93" s="1"/>
      <c r="F93" s="1"/>
      <c r="G93" s="1"/>
      <c r="H93" s="1"/>
      <c r="J93" s="1"/>
      <c r="K93" s="1"/>
      <c r="L93" s="1"/>
      <c r="M93" s="1"/>
      <c r="N93" s="1"/>
      <c r="O93" s="1"/>
      <c r="P93" s="1"/>
    </row>
    <row r="94" spans="1:16" ht="15.75" customHeight="1">
      <c r="A94" s="1"/>
      <c r="C94" s="1"/>
      <c r="D94" s="1"/>
      <c r="E94" s="1"/>
      <c r="F94" s="1"/>
      <c r="G94" s="1"/>
      <c r="H94" s="1"/>
      <c r="J94" s="1"/>
      <c r="K94" s="1"/>
      <c r="L94" s="1"/>
      <c r="M94" s="1"/>
      <c r="N94" s="1"/>
      <c r="O94" s="1"/>
      <c r="P94" s="1"/>
    </row>
    <row r="95" spans="1:16" ht="15.75" customHeight="1">
      <c r="A95" s="1"/>
      <c r="C95" s="1"/>
      <c r="D95" s="1"/>
      <c r="E95" s="1"/>
      <c r="F95" s="1"/>
      <c r="G95" s="1"/>
      <c r="H95" s="1"/>
      <c r="J95" s="1"/>
      <c r="K95" s="1"/>
      <c r="L95" s="1"/>
      <c r="M95" s="1"/>
      <c r="N95" s="1"/>
      <c r="O95" s="1"/>
      <c r="P95" s="1"/>
    </row>
    <row r="96" spans="1:16" ht="15.75" customHeight="1">
      <c r="A96" s="1"/>
      <c r="C96" s="1"/>
      <c r="D96" s="1"/>
      <c r="E96" s="1"/>
      <c r="F96" s="1"/>
      <c r="G96" s="1"/>
      <c r="H96" s="1"/>
      <c r="J96" s="1"/>
      <c r="K96" s="1"/>
      <c r="L96" s="1"/>
      <c r="M96" s="1"/>
      <c r="N96" s="1"/>
      <c r="O96" s="1"/>
      <c r="P96" s="1"/>
    </row>
    <row r="97" spans="1:16" ht="15.75" customHeight="1">
      <c r="A97" s="1"/>
      <c r="C97" s="1"/>
      <c r="D97" s="1"/>
      <c r="E97" s="1"/>
      <c r="F97" s="1"/>
      <c r="G97" s="1"/>
      <c r="H97" s="1"/>
      <c r="J97" s="1"/>
      <c r="K97" s="1"/>
      <c r="L97" s="1"/>
      <c r="M97" s="1"/>
      <c r="N97" s="1"/>
      <c r="O97" s="1"/>
      <c r="P97" s="1"/>
    </row>
    <row r="98" spans="1:16" ht="15.75" customHeight="1">
      <c r="A98" s="1"/>
      <c r="C98" s="1"/>
      <c r="D98" s="1"/>
      <c r="E98" s="1"/>
      <c r="F98" s="1"/>
      <c r="G98" s="1"/>
      <c r="H98" s="1"/>
      <c r="J98" s="1"/>
      <c r="K98" s="1"/>
      <c r="L98" s="1"/>
      <c r="M98" s="1"/>
      <c r="N98" s="1"/>
      <c r="O98" s="1"/>
      <c r="P98" s="1"/>
    </row>
    <row r="99" spans="1:16" ht="15.75" customHeight="1">
      <c r="A99" s="1"/>
      <c r="C99" s="1"/>
      <c r="D99" s="1"/>
      <c r="E99" s="1"/>
      <c r="F99" s="1"/>
      <c r="G99" s="1"/>
      <c r="H99" s="1"/>
      <c r="J99" s="1"/>
      <c r="K99" s="1"/>
      <c r="L99" s="1"/>
      <c r="M99" s="1"/>
      <c r="N99" s="1"/>
      <c r="O99" s="1"/>
      <c r="P99" s="1"/>
    </row>
    <row r="100" spans="1:16" ht="15.75" customHeight="1">
      <c r="A100" s="1"/>
      <c r="C100" s="1"/>
      <c r="D100" s="1"/>
      <c r="E100" s="1"/>
      <c r="F100" s="1"/>
      <c r="G100" s="1"/>
      <c r="H100" s="1"/>
      <c r="J100" s="1"/>
      <c r="K100" s="1"/>
      <c r="L100" s="1"/>
      <c r="M100" s="1"/>
      <c r="N100" s="1"/>
      <c r="O100" s="1"/>
      <c r="P100" s="1"/>
    </row>
    <row r="101" spans="1:16" ht="15.75" customHeight="1">
      <c r="A101" s="1"/>
      <c r="C101" s="1"/>
      <c r="D101" s="1"/>
      <c r="E101" s="1"/>
      <c r="F101" s="1"/>
      <c r="G101" s="1"/>
      <c r="H101" s="1"/>
      <c r="J101" s="1"/>
      <c r="K101" s="1"/>
      <c r="L101" s="1"/>
      <c r="M101" s="1"/>
      <c r="N101" s="1"/>
      <c r="O101" s="1"/>
      <c r="P101" s="1"/>
    </row>
    <row r="102" spans="1:16" ht="15.75" customHeight="1">
      <c r="A102" s="1"/>
      <c r="C102" s="1"/>
      <c r="D102" s="1"/>
      <c r="E102" s="1"/>
      <c r="F102" s="1"/>
      <c r="G102" s="1"/>
      <c r="H102" s="1"/>
      <c r="J102" s="1"/>
      <c r="K102" s="1"/>
      <c r="L102" s="1"/>
      <c r="M102" s="1"/>
      <c r="N102" s="1"/>
      <c r="O102" s="1"/>
      <c r="P102" s="1"/>
    </row>
    <row r="103" spans="1:16" ht="15.75" customHeight="1">
      <c r="A103" s="1"/>
      <c r="C103" s="1"/>
      <c r="D103" s="1"/>
      <c r="E103" s="1"/>
      <c r="F103" s="1"/>
      <c r="G103" s="1"/>
      <c r="H103" s="1"/>
      <c r="J103" s="1"/>
      <c r="K103" s="1"/>
      <c r="L103" s="1"/>
      <c r="M103" s="1"/>
      <c r="N103" s="1"/>
      <c r="O103" s="1"/>
      <c r="P103" s="1"/>
    </row>
    <row r="104" spans="1:16" ht="15.75" customHeight="1">
      <c r="A104" s="1"/>
      <c r="C104" s="1"/>
      <c r="D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</row>
    <row r="105" spans="1:16" ht="15.75" customHeight="1">
      <c r="A105" s="1"/>
      <c r="C105" s="1"/>
      <c r="D105" s="1"/>
      <c r="E105" s="1"/>
      <c r="F105" s="1"/>
      <c r="G105" s="1"/>
      <c r="H105" s="1"/>
      <c r="J105" s="1"/>
      <c r="K105" s="1"/>
      <c r="L105" s="1"/>
      <c r="M105" s="1"/>
      <c r="N105" s="1"/>
      <c r="O105" s="1"/>
      <c r="P105" s="1"/>
    </row>
    <row r="106" spans="1:16" ht="15.75" customHeight="1">
      <c r="A106" s="1"/>
      <c r="C106" s="1"/>
      <c r="D106" s="1"/>
      <c r="E106" s="1"/>
      <c r="F106" s="1"/>
      <c r="G106" s="1"/>
      <c r="H106" s="1"/>
      <c r="J106" s="1"/>
      <c r="K106" s="1"/>
      <c r="L106" s="1"/>
      <c r="M106" s="1"/>
      <c r="N106" s="1"/>
      <c r="O106" s="1"/>
      <c r="P106" s="1"/>
    </row>
    <row r="107" spans="1:16" ht="15.75" customHeight="1">
      <c r="A107" s="1"/>
      <c r="C107" s="1"/>
      <c r="D107" s="1"/>
      <c r="E107" s="1"/>
      <c r="F107" s="1"/>
      <c r="G107" s="1"/>
      <c r="H107" s="1"/>
      <c r="J107" s="1"/>
      <c r="K107" s="1"/>
      <c r="L107" s="1"/>
      <c r="M107" s="1"/>
      <c r="N107" s="1"/>
      <c r="O107" s="1"/>
      <c r="P107" s="1"/>
    </row>
    <row r="108" spans="1:16" ht="15.75" customHeight="1">
      <c r="A108" s="1"/>
      <c r="C108" s="1"/>
      <c r="D108" s="1"/>
      <c r="E108" s="1"/>
      <c r="F108" s="1"/>
      <c r="G108" s="1"/>
      <c r="H108" s="1"/>
      <c r="J108" s="1"/>
      <c r="K108" s="1"/>
      <c r="L108" s="1"/>
      <c r="M108" s="1"/>
      <c r="N108" s="1"/>
      <c r="O108" s="1"/>
      <c r="P108" s="1"/>
    </row>
    <row r="109" spans="1:16" ht="15.75" customHeight="1">
      <c r="A109" s="1"/>
      <c r="C109" s="1"/>
      <c r="D109" s="1"/>
      <c r="E109" s="1"/>
      <c r="F109" s="1"/>
      <c r="G109" s="1"/>
      <c r="H109" s="1"/>
      <c r="J109" s="1"/>
      <c r="K109" s="1"/>
      <c r="L109" s="1"/>
      <c r="M109" s="1"/>
      <c r="N109" s="1"/>
      <c r="O109" s="1"/>
      <c r="P109" s="1"/>
    </row>
    <row r="110" spans="1:16" ht="15.75" customHeight="1">
      <c r="A110" s="1"/>
      <c r="C110" s="1"/>
      <c r="D110" s="1"/>
      <c r="E110" s="1"/>
      <c r="F110" s="1"/>
      <c r="G110" s="1"/>
      <c r="H110" s="1"/>
      <c r="J110" s="1"/>
      <c r="K110" s="1"/>
      <c r="L110" s="1"/>
      <c r="M110" s="1"/>
      <c r="N110" s="1"/>
      <c r="O110" s="1"/>
      <c r="P110" s="1"/>
    </row>
    <row r="111" spans="1:16" ht="15.75" customHeight="1">
      <c r="A111" s="1"/>
      <c r="C111" s="1"/>
      <c r="D111" s="1"/>
      <c r="E111" s="1"/>
      <c r="F111" s="1"/>
      <c r="G111" s="1"/>
      <c r="H111" s="1"/>
      <c r="J111" s="1"/>
      <c r="K111" s="1"/>
      <c r="L111" s="1"/>
      <c r="M111" s="1"/>
      <c r="N111" s="1"/>
      <c r="O111" s="1"/>
      <c r="P111" s="1"/>
    </row>
    <row r="112" spans="1:16" ht="15.75" customHeight="1">
      <c r="A112" s="1"/>
      <c r="C112" s="1"/>
      <c r="D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</row>
    <row r="113" spans="1:16" ht="15.75" customHeight="1">
      <c r="A113" s="1"/>
      <c r="C113" s="1"/>
      <c r="D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</row>
    <row r="114" spans="1:16" ht="15.75" customHeight="1">
      <c r="A114" s="1"/>
      <c r="C114" s="1"/>
      <c r="D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</row>
    <row r="115" spans="1:16" ht="15.75" customHeight="1">
      <c r="A115" s="1"/>
      <c r="C115" s="1"/>
      <c r="D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</row>
    <row r="116" spans="1:16" ht="15.75" customHeight="1">
      <c r="A116" s="1"/>
      <c r="C116" s="1"/>
      <c r="D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</row>
    <row r="117" spans="1:16" ht="15.75" customHeight="1">
      <c r="A117" s="1"/>
      <c r="C117" s="1"/>
      <c r="D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P117" s="1"/>
    </row>
    <row r="118" spans="1:16" ht="15.75" customHeight="1">
      <c r="A118" s="1"/>
      <c r="C118" s="1"/>
      <c r="D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</row>
    <row r="119" spans="1:16" ht="15.75" customHeight="1">
      <c r="A119" s="1"/>
      <c r="C119" s="1"/>
      <c r="D119" s="1"/>
      <c r="E119" s="1"/>
      <c r="F119" s="1"/>
      <c r="G119" s="1"/>
      <c r="H119" s="1"/>
      <c r="J119" s="1"/>
      <c r="K119" s="1"/>
      <c r="L119" s="1"/>
      <c r="M119" s="1"/>
      <c r="N119" s="1"/>
      <c r="O119" s="1"/>
      <c r="P119" s="1"/>
    </row>
    <row r="120" spans="1:16" ht="15.75" customHeight="1">
      <c r="A120" s="1"/>
      <c r="C120" s="1"/>
      <c r="D120" s="1"/>
      <c r="E120" s="1"/>
      <c r="F120" s="1"/>
      <c r="G120" s="1"/>
      <c r="H120" s="1"/>
      <c r="J120" s="1"/>
      <c r="K120" s="1"/>
      <c r="L120" s="1"/>
      <c r="M120" s="1"/>
      <c r="N120" s="1"/>
      <c r="O120" s="1"/>
      <c r="P120" s="1"/>
    </row>
    <row r="121" spans="1:16" ht="15.75" customHeight="1">
      <c r="A121" s="1"/>
      <c r="C121" s="1"/>
      <c r="D121" s="1"/>
      <c r="E121" s="1"/>
      <c r="F121" s="1"/>
      <c r="G121" s="1"/>
      <c r="H121" s="1"/>
      <c r="J121" s="1"/>
      <c r="K121" s="1"/>
      <c r="L121" s="1"/>
      <c r="M121" s="1"/>
      <c r="N121" s="1"/>
      <c r="O121" s="1"/>
      <c r="P121" s="1"/>
    </row>
    <row r="122" spans="1:16" ht="15.75" customHeight="1">
      <c r="A122" s="1"/>
      <c r="C122" s="1"/>
      <c r="D122" s="1"/>
      <c r="E122" s="1"/>
      <c r="F122" s="1"/>
      <c r="G122" s="1"/>
      <c r="H122" s="1"/>
      <c r="J122" s="1"/>
      <c r="K122" s="1"/>
      <c r="L122" s="1"/>
      <c r="M122" s="1"/>
      <c r="N122" s="1"/>
      <c r="O122" s="1"/>
      <c r="P122" s="1"/>
    </row>
    <row r="123" spans="1:16" ht="15.75" customHeight="1">
      <c r="A123" s="1"/>
      <c r="C123" s="1"/>
      <c r="D123" s="1"/>
      <c r="E123" s="1"/>
      <c r="F123" s="1"/>
      <c r="G123" s="1"/>
      <c r="H123" s="1"/>
      <c r="J123" s="1"/>
      <c r="K123" s="1"/>
      <c r="L123" s="1"/>
      <c r="M123" s="1"/>
      <c r="N123" s="1"/>
      <c r="O123" s="1"/>
      <c r="P123" s="1"/>
    </row>
    <row r="124" spans="1:16" ht="15.75" customHeight="1">
      <c r="A124" s="1"/>
      <c r="C124" s="1"/>
      <c r="D124" s="1"/>
      <c r="E124" s="1"/>
      <c r="F124" s="1"/>
      <c r="G124" s="1"/>
      <c r="H124" s="1"/>
      <c r="J124" s="1"/>
      <c r="K124" s="1"/>
      <c r="L124" s="1"/>
      <c r="M124" s="1"/>
      <c r="N124" s="1"/>
      <c r="O124" s="1"/>
      <c r="P124" s="1"/>
    </row>
    <row r="125" spans="1:16" ht="15.75" customHeight="1">
      <c r="A125" s="1"/>
      <c r="C125" s="1"/>
      <c r="D125" s="1"/>
      <c r="E125" s="1"/>
      <c r="F125" s="1"/>
      <c r="G125" s="1"/>
      <c r="H125" s="1"/>
      <c r="J125" s="1"/>
      <c r="K125" s="1"/>
      <c r="L125" s="1"/>
      <c r="M125" s="1"/>
      <c r="N125" s="1"/>
      <c r="O125" s="1"/>
      <c r="P125" s="1"/>
    </row>
    <row r="126" spans="1:16" ht="15.75" customHeight="1">
      <c r="A126" s="1"/>
      <c r="C126" s="1"/>
      <c r="D126" s="1"/>
      <c r="E126" s="1"/>
      <c r="F126" s="1"/>
      <c r="G126" s="1"/>
      <c r="H126" s="1"/>
      <c r="J126" s="1"/>
      <c r="K126" s="1"/>
      <c r="L126" s="1"/>
      <c r="M126" s="1"/>
      <c r="N126" s="1"/>
      <c r="O126" s="1"/>
      <c r="P126" s="1"/>
    </row>
    <row r="127" spans="1:16" ht="15.75" customHeight="1">
      <c r="A127" s="1"/>
      <c r="C127" s="1"/>
      <c r="D127" s="1"/>
      <c r="E127" s="1"/>
      <c r="F127" s="1"/>
      <c r="G127" s="1"/>
      <c r="H127" s="1"/>
      <c r="J127" s="1"/>
      <c r="K127" s="1"/>
      <c r="L127" s="1"/>
      <c r="M127" s="1"/>
      <c r="N127" s="1"/>
      <c r="O127" s="1"/>
      <c r="P127" s="1"/>
    </row>
    <row r="128" spans="1:16" ht="15.75" customHeight="1">
      <c r="A128" s="1"/>
      <c r="C128" s="1"/>
      <c r="D128" s="1"/>
      <c r="E128" s="1"/>
      <c r="F128" s="1"/>
      <c r="G128" s="1"/>
      <c r="H128" s="1"/>
      <c r="J128" s="1"/>
      <c r="K128" s="1"/>
      <c r="L128" s="1"/>
      <c r="M128" s="1"/>
      <c r="N128" s="1"/>
      <c r="O128" s="1"/>
      <c r="P128" s="1"/>
    </row>
    <row r="129" spans="1:16" ht="15.75" customHeight="1">
      <c r="A129" s="1"/>
      <c r="C129" s="1"/>
      <c r="D129" s="1"/>
      <c r="E129" s="1"/>
      <c r="F129" s="1"/>
      <c r="G129" s="1"/>
      <c r="H129" s="1"/>
      <c r="J129" s="1"/>
      <c r="K129" s="1"/>
      <c r="L129" s="1"/>
      <c r="M129" s="1"/>
      <c r="N129" s="1"/>
      <c r="O129" s="1"/>
      <c r="P129" s="1"/>
    </row>
    <row r="130" spans="1:16" ht="15.75" customHeight="1">
      <c r="A130" s="1"/>
      <c r="C130" s="1"/>
      <c r="D130" s="1"/>
      <c r="E130" s="1"/>
      <c r="F130" s="1"/>
      <c r="G130" s="1"/>
      <c r="H130" s="1"/>
      <c r="J130" s="1"/>
      <c r="K130" s="1"/>
      <c r="L130" s="1"/>
      <c r="M130" s="1"/>
      <c r="N130" s="1"/>
      <c r="O130" s="1"/>
      <c r="P130" s="1"/>
    </row>
    <row r="131" spans="1:16" ht="15.75" customHeight="1">
      <c r="A131" s="1"/>
      <c r="C131" s="1"/>
      <c r="D131" s="1"/>
      <c r="E131" s="1"/>
      <c r="F131" s="1"/>
      <c r="G131" s="1"/>
      <c r="H131" s="1"/>
      <c r="J131" s="1"/>
      <c r="K131" s="1"/>
      <c r="L131" s="1"/>
      <c r="M131" s="1"/>
      <c r="N131" s="1"/>
      <c r="O131" s="1"/>
      <c r="P131" s="1"/>
    </row>
    <row r="132" spans="1:16" ht="15.75" customHeight="1">
      <c r="A132" s="1"/>
      <c r="C132" s="1"/>
      <c r="D132" s="1"/>
      <c r="E132" s="1"/>
      <c r="F132" s="1"/>
      <c r="G132" s="1"/>
      <c r="H132" s="1"/>
      <c r="J132" s="1"/>
      <c r="K132" s="1"/>
      <c r="L132" s="1"/>
      <c r="M132" s="1"/>
      <c r="N132" s="1"/>
      <c r="O132" s="1"/>
      <c r="P132" s="1"/>
    </row>
    <row r="133" spans="1:16" ht="15.75" customHeight="1">
      <c r="A133" s="1"/>
      <c r="C133" s="1"/>
      <c r="D133" s="1"/>
      <c r="E133" s="1"/>
      <c r="F133" s="1"/>
      <c r="G133" s="1"/>
      <c r="H133" s="1"/>
      <c r="J133" s="1"/>
      <c r="K133" s="1"/>
      <c r="L133" s="1"/>
      <c r="M133" s="1"/>
      <c r="N133" s="1"/>
      <c r="O133" s="1"/>
      <c r="P133" s="1"/>
    </row>
    <row r="134" spans="1:16" ht="15.75" customHeight="1">
      <c r="A134" s="1"/>
      <c r="C134" s="1"/>
      <c r="D134" s="1"/>
      <c r="E134" s="1"/>
      <c r="F134" s="1"/>
      <c r="G134" s="1"/>
      <c r="H134" s="1"/>
      <c r="J134" s="1"/>
      <c r="K134" s="1"/>
      <c r="L134" s="1"/>
      <c r="M134" s="1"/>
      <c r="N134" s="1"/>
      <c r="O134" s="1"/>
      <c r="P134" s="1"/>
    </row>
    <row r="135" spans="1:16" ht="15.75" customHeight="1">
      <c r="A135" s="1"/>
      <c r="C135" s="1"/>
      <c r="D135" s="1"/>
      <c r="E135" s="1"/>
      <c r="F135" s="1"/>
      <c r="G135" s="1"/>
      <c r="H135" s="1"/>
      <c r="J135" s="1"/>
      <c r="K135" s="1"/>
      <c r="L135" s="1"/>
      <c r="M135" s="1"/>
      <c r="N135" s="1"/>
      <c r="O135" s="1"/>
      <c r="P135" s="1"/>
    </row>
    <row r="136" spans="1:16" ht="15.75" customHeight="1">
      <c r="A136" s="1"/>
      <c r="C136" s="1"/>
      <c r="D136" s="1"/>
      <c r="E136" s="1"/>
      <c r="F136" s="1"/>
      <c r="G136" s="1"/>
      <c r="H136" s="1"/>
      <c r="J136" s="1"/>
      <c r="K136" s="1"/>
      <c r="L136" s="1"/>
      <c r="M136" s="1"/>
      <c r="N136" s="1"/>
      <c r="O136" s="1"/>
      <c r="P136" s="1"/>
    </row>
    <row r="137" spans="1:16" ht="15.75" customHeight="1">
      <c r="A137" s="1"/>
      <c r="C137" s="1"/>
      <c r="D137" s="1"/>
      <c r="E137" s="1"/>
      <c r="F137" s="1"/>
      <c r="G137" s="1"/>
      <c r="H137" s="1"/>
      <c r="J137" s="1"/>
      <c r="K137" s="1"/>
      <c r="L137" s="1"/>
      <c r="M137" s="1"/>
      <c r="N137" s="1"/>
      <c r="O137" s="1"/>
      <c r="P137" s="1"/>
    </row>
    <row r="138" spans="1:16" ht="15.75" customHeight="1">
      <c r="A138" s="1"/>
      <c r="C138" s="1"/>
      <c r="D138" s="1"/>
      <c r="E138" s="1"/>
      <c r="F138" s="1"/>
      <c r="G138" s="1"/>
      <c r="H138" s="1"/>
      <c r="J138" s="1"/>
      <c r="K138" s="1"/>
      <c r="L138" s="1"/>
      <c r="M138" s="1"/>
      <c r="N138" s="1"/>
      <c r="O138" s="1"/>
      <c r="P138" s="1"/>
    </row>
    <row r="139" spans="1:16" ht="15.75" customHeight="1">
      <c r="A139" s="1"/>
      <c r="C139" s="1"/>
      <c r="D139" s="1"/>
      <c r="E139" s="1"/>
      <c r="F139" s="1"/>
      <c r="G139" s="1"/>
      <c r="H139" s="1"/>
      <c r="J139" s="1"/>
      <c r="K139" s="1"/>
      <c r="L139" s="1"/>
      <c r="M139" s="1"/>
      <c r="N139" s="1"/>
      <c r="O139" s="1"/>
      <c r="P139" s="1"/>
    </row>
    <row r="140" spans="1:16" ht="15.75" customHeight="1">
      <c r="A140" s="1"/>
      <c r="C140" s="1"/>
      <c r="D140" s="1"/>
      <c r="E140" s="1"/>
      <c r="F140" s="1"/>
      <c r="G140" s="1"/>
      <c r="H140" s="1"/>
      <c r="J140" s="1"/>
      <c r="K140" s="1"/>
      <c r="L140" s="1"/>
      <c r="M140" s="1"/>
      <c r="N140" s="1"/>
      <c r="O140" s="1"/>
      <c r="P140" s="1"/>
    </row>
    <row r="141" spans="1:16" ht="15.75" customHeight="1">
      <c r="A141" s="1"/>
      <c r="C141" s="1"/>
      <c r="D141" s="1"/>
      <c r="E141" s="1"/>
      <c r="F141" s="1"/>
      <c r="G141" s="1"/>
      <c r="H141" s="1"/>
      <c r="J141" s="1"/>
      <c r="K141" s="1"/>
      <c r="L141" s="1"/>
      <c r="M141" s="1"/>
      <c r="N141" s="1"/>
      <c r="O141" s="1"/>
      <c r="P141" s="1"/>
    </row>
    <row r="142" spans="1:16" ht="15.75" customHeight="1">
      <c r="A142" s="1"/>
      <c r="C142" s="1"/>
      <c r="D142" s="1"/>
      <c r="E142" s="1"/>
      <c r="F142" s="1"/>
      <c r="G142" s="1"/>
      <c r="H142" s="1"/>
      <c r="J142" s="1"/>
      <c r="K142" s="1"/>
      <c r="L142" s="1"/>
      <c r="M142" s="1"/>
      <c r="N142" s="1"/>
      <c r="O142" s="1"/>
      <c r="P142" s="1"/>
    </row>
    <row r="143" spans="1:16" ht="15.75" customHeight="1">
      <c r="A143" s="1"/>
      <c r="C143" s="1"/>
      <c r="D143" s="1"/>
      <c r="E143" s="1"/>
      <c r="F143" s="1"/>
      <c r="G143" s="1"/>
      <c r="H143" s="1"/>
      <c r="J143" s="1"/>
      <c r="K143" s="1"/>
      <c r="L143" s="1"/>
      <c r="M143" s="1"/>
      <c r="N143" s="1"/>
      <c r="O143" s="1"/>
      <c r="P143" s="1"/>
    </row>
    <row r="144" spans="1:16" ht="15.75" customHeight="1">
      <c r="A144" s="1"/>
      <c r="C144" s="1"/>
      <c r="D144" s="1"/>
      <c r="E144" s="1"/>
      <c r="F144" s="1"/>
      <c r="G144" s="1"/>
      <c r="H144" s="1"/>
      <c r="J144" s="1"/>
      <c r="K144" s="1"/>
      <c r="L144" s="1"/>
      <c r="M144" s="1"/>
      <c r="N144" s="1"/>
      <c r="O144" s="1"/>
      <c r="P144" s="1"/>
    </row>
    <row r="145" spans="1:16" ht="15.75" customHeight="1">
      <c r="A145" s="1"/>
      <c r="C145" s="1"/>
      <c r="D145" s="1"/>
      <c r="E145" s="1"/>
      <c r="F145" s="1"/>
      <c r="G145" s="1"/>
      <c r="H145" s="1"/>
      <c r="J145" s="1"/>
      <c r="K145" s="1"/>
      <c r="L145" s="1"/>
      <c r="M145" s="1"/>
      <c r="N145" s="1"/>
      <c r="O145" s="1"/>
      <c r="P145" s="1"/>
    </row>
    <row r="146" spans="1:16" ht="15.75" customHeight="1">
      <c r="A146" s="1"/>
      <c r="C146" s="1"/>
      <c r="D146" s="1"/>
      <c r="E146" s="1"/>
      <c r="F146" s="1"/>
      <c r="G146" s="1"/>
      <c r="H146" s="1"/>
      <c r="J146" s="1"/>
      <c r="K146" s="1"/>
      <c r="L146" s="1"/>
      <c r="M146" s="1"/>
      <c r="N146" s="1"/>
      <c r="O146" s="1"/>
      <c r="P146" s="1"/>
    </row>
    <row r="147" spans="1:16" ht="15.75" customHeight="1">
      <c r="A147" s="1"/>
      <c r="C147" s="1"/>
      <c r="D147" s="1"/>
      <c r="E147" s="1"/>
      <c r="F147" s="1"/>
      <c r="G147" s="1"/>
      <c r="H147" s="1"/>
      <c r="J147" s="1"/>
      <c r="K147" s="1"/>
      <c r="L147" s="1"/>
      <c r="M147" s="1"/>
      <c r="N147" s="1"/>
      <c r="O147" s="1"/>
      <c r="P147" s="1"/>
    </row>
    <row r="148" spans="1:16" ht="15.75" customHeight="1">
      <c r="A148" s="1"/>
      <c r="C148" s="1"/>
      <c r="D148" s="1"/>
      <c r="E148" s="1"/>
      <c r="F148" s="1"/>
      <c r="G148" s="1"/>
      <c r="H148" s="1"/>
      <c r="J148" s="1"/>
      <c r="K148" s="1"/>
      <c r="L148" s="1"/>
      <c r="M148" s="1"/>
      <c r="N148" s="1"/>
      <c r="O148" s="1"/>
      <c r="P148" s="1"/>
    </row>
    <row r="149" spans="1:16" ht="15.75" customHeight="1">
      <c r="A149" s="1"/>
      <c r="C149" s="1"/>
      <c r="D149" s="1"/>
      <c r="E149" s="1"/>
      <c r="F149" s="1"/>
      <c r="G149" s="1"/>
      <c r="H149" s="1"/>
      <c r="J149" s="1"/>
      <c r="K149" s="1"/>
      <c r="L149" s="1"/>
      <c r="M149" s="1"/>
      <c r="N149" s="1"/>
      <c r="O149" s="1"/>
      <c r="P149" s="1"/>
    </row>
    <row r="150" spans="1:16" ht="15.75" customHeight="1">
      <c r="A150" s="1"/>
      <c r="C150" s="1"/>
      <c r="D150" s="1"/>
      <c r="E150" s="1"/>
      <c r="F150" s="1"/>
      <c r="G150" s="1"/>
      <c r="H150" s="1"/>
      <c r="J150" s="1"/>
      <c r="K150" s="1"/>
      <c r="L150" s="1"/>
      <c r="M150" s="1"/>
      <c r="N150" s="1"/>
      <c r="O150" s="1"/>
      <c r="P150" s="1"/>
    </row>
    <row r="151" spans="1:16" ht="15.75" customHeight="1">
      <c r="A151" s="1"/>
      <c r="C151" s="1"/>
      <c r="D151" s="1"/>
      <c r="E151" s="1"/>
      <c r="F151" s="1"/>
      <c r="G151" s="1"/>
      <c r="H151" s="1"/>
      <c r="J151" s="1"/>
      <c r="K151" s="1"/>
      <c r="L151" s="1"/>
      <c r="M151" s="1"/>
      <c r="N151" s="1"/>
      <c r="O151" s="1"/>
      <c r="P151" s="1"/>
    </row>
    <row r="152" spans="1:16" ht="15.75" customHeight="1">
      <c r="A152" s="1"/>
      <c r="C152" s="1"/>
      <c r="D152" s="1"/>
      <c r="E152" s="1"/>
      <c r="F152" s="1"/>
      <c r="G152" s="1"/>
      <c r="H152" s="1"/>
      <c r="J152" s="1"/>
      <c r="K152" s="1"/>
      <c r="L152" s="1"/>
      <c r="M152" s="1"/>
      <c r="N152" s="1"/>
      <c r="O152" s="1"/>
      <c r="P152" s="1"/>
    </row>
    <row r="153" spans="1:16" ht="15.75" customHeight="1">
      <c r="A153" s="1"/>
      <c r="C153" s="1"/>
      <c r="D153" s="1"/>
      <c r="E153" s="1"/>
      <c r="F153" s="1"/>
      <c r="G153" s="1"/>
      <c r="H153" s="1"/>
      <c r="J153" s="1"/>
      <c r="K153" s="1"/>
      <c r="L153" s="1"/>
      <c r="M153" s="1"/>
      <c r="N153" s="1"/>
      <c r="O153" s="1"/>
      <c r="P153" s="1"/>
    </row>
    <row r="154" spans="1:16" ht="15.75" customHeight="1">
      <c r="A154" s="1"/>
      <c r="C154" s="1"/>
      <c r="D154" s="1"/>
      <c r="E154" s="1"/>
      <c r="F154" s="1"/>
      <c r="G154" s="1"/>
      <c r="H154" s="1"/>
      <c r="J154" s="1"/>
      <c r="K154" s="1"/>
      <c r="L154" s="1"/>
      <c r="M154" s="1"/>
      <c r="N154" s="1"/>
      <c r="O154" s="1"/>
      <c r="P154" s="1"/>
    </row>
    <row r="155" spans="1:16" ht="15.75" customHeight="1">
      <c r="A155" s="1"/>
      <c r="C155" s="1"/>
      <c r="D155" s="1"/>
      <c r="E155" s="1"/>
      <c r="F155" s="1"/>
      <c r="G155" s="1"/>
      <c r="H155" s="1"/>
      <c r="J155" s="1"/>
      <c r="K155" s="1"/>
      <c r="L155" s="1"/>
      <c r="M155" s="1"/>
      <c r="N155" s="1"/>
      <c r="O155" s="1"/>
      <c r="P155" s="1"/>
    </row>
    <row r="156" spans="1:16" ht="15.75" customHeight="1">
      <c r="A156" s="1"/>
      <c r="C156" s="1"/>
      <c r="D156" s="1"/>
      <c r="E156" s="1"/>
      <c r="F156" s="1"/>
      <c r="G156" s="1"/>
      <c r="H156" s="1"/>
      <c r="J156" s="1"/>
      <c r="K156" s="1"/>
      <c r="L156" s="1"/>
      <c r="M156" s="1"/>
      <c r="N156" s="1"/>
      <c r="O156" s="1"/>
      <c r="P156" s="1"/>
    </row>
    <row r="157" spans="1:16" ht="15.75" customHeight="1">
      <c r="A157" s="1"/>
      <c r="C157" s="1"/>
      <c r="D157" s="1"/>
      <c r="E157" s="1"/>
      <c r="F157" s="1"/>
      <c r="G157" s="1"/>
      <c r="H157" s="1"/>
      <c r="J157" s="1"/>
      <c r="K157" s="1"/>
      <c r="L157" s="1"/>
      <c r="M157" s="1"/>
      <c r="N157" s="1"/>
      <c r="O157" s="1"/>
      <c r="P157" s="1"/>
    </row>
    <row r="158" spans="1:16" ht="15.75" customHeight="1">
      <c r="A158" s="1"/>
      <c r="C158" s="1"/>
      <c r="D158" s="1"/>
      <c r="E158" s="1"/>
      <c r="F158" s="1"/>
      <c r="G158" s="1"/>
      <c r="H158" s="1"/>
      <c r="J158" s="1"/>
      <c r="K158" s="1"/>
      <c r="L158" s="1"/>
      <c r="M158" s="1"/>
      <c r="N158" s="1"/>
      <c r="O158" s="1"/>
      <c r="P158" s="1"/>
    </row>
    <row r="159" spans="1:16" ht="15.75" customHeight="1">
      <c r="A159" s="1"/>
      <c r="C159" s="1"/>
      <c r="D159" s="1"/>
      <c r="E159" s="1"/>
      <c r="F159" s="1"/>
      <c r="G159" s="1"/>
      <c r="H159" s="1"/>
      <c r="J159" s="1"/>
      <c r="K159" s="1"/>
      <c r="L159" s="1"/>
      <c r="M159" s="1"/>
      <c r="N159" s="1"/>
      <c r="O159" s="1"/>
      <c r="P159" s="1"/>
    </row>
    <row r="160" spans="1:16" ht="15.75" customHeight="1">
      <c r="A160" s="1"/>
      <c r="C160" s="1"/>
      <c r="D160" s="1"/>
      <c r="E160" s="1"/>
      <c r="F160" s="1"/>
      <c r="G160" s="1"/>
      <c r="H160" s="1"/>
      <c r="J160" s="1"/>
      <c r="K160" s="1"/>
      <c r="L160" s="1"/>
      <c r="M160" s="1"/>
      <c r="N160" s="1"/>
      <c r="O160" s="1"/>
      <c r="P160" s="1"/>
    </row>
    <row r="161" spans="1:16" ht="15.75" customHeight="1">
      <c r="A161" s="1"/>
      <c r="C161" s="1"/>
      <c r="D161" s="1"/>
      <c r="E161" s="1"/>
      <c r="F161" s="1"/>
      <c r="G161" s="1"/>
      <c r="H161" s="1"/>
      <c r="J161" s="1"/>
      <c r="K161" s="1"/>
      <c r="L161" s="1"/>
      <c r="M161" s="1"/>
      <c r="N161" s="1"/>
      <c r="O161" s="1"/>
      <c r="P161" s="1"/>
    </row>
    <row r="162" spans="1:16" ht="15.75" customHeight="1">
      <c r="A162" s="1"/>
      <c r="C162" s="1"/>
      <c r="D162" s="1"/>
      <c r="E162" s="1"/>
      <c r="F162" s="1"/>
      <c r="G162" s="1"/>
      <c r="H162" s="1"/>
      <c r="J162" s="1"/>
      <c r="K162" s="1"/>
      <c r="L162" s="1"/>
      <c r="M162" s="1"/>
      <c r="N162" s="1"/>
      <c r="O162" s="1"/>
      <c r="P162" s="1"/>
    </row>
    <row r="163" spans="1:16" ht="15.75" customHeight="1">
      <c r="A163" s="1"/>
      <c r="C163" s="1"/>
      <c r="D163" s="1"/>
      <c r="E163" s="1"/>
      <c r="F163" s="1"/>
      <c r="G163" s="1"/>
      <c r="H163" s="1"/>
      <c r="J163" s="1"/>
      <c r="K163" s="1"/>
      <c r="L163" s="1"/>
      <c r="M163" s="1"/>
      <c r="N163" s="1"/>
      <c r="O163" s="1"/>
      <c r="P163" s="1"/>
    </row>
    <row r="164" spans="1:16" ht="15.75" customHeight="1">
      <c r="A164" s="1"/>
      <c r="C164" s="1"/>
      <c r="D164" s="1"/>
      <c r="E164" s="1"/>
      <c r="F164" s="1"/>
      <c r="G164" s="1"/>
      <c r="H164" s="1"/>
      <c r="J164" s="1"/>
      <c r="K164" s="1"/>
      <c r="L164" s="1"/>
      <c r="M164" s="1"/>
      <c r="N164" s="1"/>
      <c r="O164" s="1"/>
      <c r="P164" s="1"/>
    </row>
    <row r="165" spans="1:16" ht="15.75" customHeight="1">
      <c r="A165" s="1"/>
      <c r="C165" s="1"/>
      <c r="D165" s="1"/>
      <c r="E165" s="1"/>
      <c r="F165" s="1"/>
      <c r="G165" s="1"/>
      <c r="H165" s="1"/>
      <c r="J165" s="1"/>
      <c r="K165" s="1"/>
      <c r="L165" s="1"/>
      <c r="M165" s="1"/>
      <c r="N165" s="1"/>
      <c r="O165" s="1"/>
      <c r="P165" s="1"/>
    </row>
    <row r="166" spans="1:16" ht="15.75" customHeight="1">
      <c r="A166" s="1"/>
      <c r="C166" s="1"/>
      <c r="D166" s="1"/>
      <c r="E166" s="1"/>
      <c r="F166" s="1"/>
      <c r="G166" s="1"/>
      <c r="H166" s="1"/>
      <c r="J166" s="1"/>
      <c r="K166" s="1"/>
      <c r="L166" s="1"/>
      <c r="M166" s="1"/>
      <c r="N166" s="1"/>
      <c r="O166" s="1"/>
      <c r="P166" s="1"/>
    </row>
    <row r="167" spans="1:16" ht="15.75" customHeight="1">
      <c r="A167" s="1"/>
      <c r="C167" s="1"/>
      <c r="D167" s="1"/>
      <c r="E167" s="1"/>
      <c r="F167" s="1"/>
      <c r="G167" s="1"/>
      <c r="H167" s="1"/>
      <c r="J167" s="1"/>
      <c r="K167" s="1"/>
      <c r="L167" s="1"/>
      <c r="M167" s="1"/>
      <c r="N167" s="1"/>
      <c r="O167" s="1"/>
      <c r="P167" s="1"/>
    </row>
    <row r="168" spans="1:16" ht="15.75" customHeight="1">
      <c r="A168" s="1"/>
      <c r="C168" s="1"/>
      <c r="D168" s="1"/>
      <c r="E168" s="1"/>
      <c r="F168" s="1"/>
      <c r="G168" s="1"/>
      <c r="H168" s="1"/>
      <c r="J168" s="1"/>
      <c r="K168" s="1"/>
      <c r="L168" s="1"/>
      <c r="M168" s="1"/>
      <c r="N168" s="1"/>
      <c r="O168" s="1"/>
      <c r="P168" s="1"/>
    </row>
    <row r="169" spans="1:16" ht="15.75" customHeight="1">
      <c r="A169" s="1"/>
      <c r="C169" s="1"/>
      <c r="D169" s="1"/>
      <c r="E169" s="1"/>
      <c r="F169" s="1"/>
      <c r="G169" s="1"/>
      <c r="H169" s="1"/>
      <c r="J169" s="1"/>
      <c r="K169" s="1"/>
      <c r="L169" s="1"/>
      <c r="M169" s="1"/>
      <c r="N169" s="1"/>
      <c r="O169" s="1"/>
      <c r="P169" s="1"/>
    </row>
    <row r="170" spans="1:16" ht="15.75" customHeight="1">
      <c r="A170" s="1"/>
      <c r="C170" s="1"/>
      <c r="D170" s="1"/>
      <c r="E170" s="1"/>
      <c r="F170" s="1"/>
      <c r="G170" s="1"/>
      <c r="H170" s="1"/>
      <c r="J170" s="1"/>
      <c r="K170" s="1"/>
      <c r="L170" s="1"/>
      <c r="M170" s="1"/>
      <c r="N170" s="1"/>
      <c r="O170" s="1"/>
      <c r="P170" s="1"/>
    </row>
    <row r="171" spans="1:16" ht="15.75" customHeight="1">
      <c r="A171" s="1"/>
      <c r="C171" s="1"/>
      <c r="D171" s="1"/>
      <c r="E171" s="1"/>
      <c r="F171" s="1"/>
      <c r="G171" s="1"/>
      <c r="H171" s="1"/>
      <c r="J171" s="1"/>
      <c r="K171" s="1"/>
      <c r="L171" s="1"/>
      <c r="M171" s="1"/>
      <c r="N171" s="1"/>
      <c r="O171" s="1"/>
      <c r="P171" s="1"/>
    </row>
    <row r="172" spans="1:16" ht="15.75" customHeight="1">
      <c r="A172" s="1"/>
      <c r="C172" s="1"/>
      <c r="D172" s="1"/>
      <c r="E172" s="1"/>
      <c r="F172" s="1"/>
      <c r="G172" s="1"/>
      <c r="H172" s="1"/>
      <c r="J172" s="1"/>
      <c r="K172" s="1"/>
      <c r="L172" s="1"/>
      <c r="M172" s="1"/>
      <c r="N172" s="1"/>
      <c r="O172" s="1"/>
      <c r="P172" s="1"/>
    </row>
    <row r="173" spans="1:16" ht="15.75" customHeight="1">
      <c r="A173" s="1"/>
      <c r="C173" s="1"/>
      <c r="D173" s="1"/>
      <c r="E173" s="1"/>
      <c r="F173" s="1"/>
      <c r="G173" s="1"/>
      <c r="H173" s="1"/>
      <c r="J173" s="1"/>
      <c r="K173" s="1"/>
      <c r="L173" s="1"/>
      <c r="M173" s="1"/>
      <c r="N173" s="1"/>
      <c r="O173" s="1"/>
      <c r="P173" s="1"/>
    </row>
    <row r="174" spans="1:16" ht="15.75" customHeight="1">
      <c r="A174" s="1"/>
      <c r="C174" s="1"/>
      <c r="D174" s="1"/>
      <c r="E174" s="1"/>
      <c r="F174" s="1"/>
      <c r="G174" s="1"/>
      <c r="H174" s="1"/>
      <c r="J174" s="1"/>
      <c r="K174" s="1"/>
      <c r="L174" s="1"/>
      <c r="M174" s="1"/>
      <c r="N174" s="1"/>
      <c r="O174" s="1"/>
      <c r="P174" s="1"/>
    </row>
    <row r="175" spans="1:16" ht="15.75" customHeight="1">
      <c r="A175" s="1"/>
      <c r="C175" s="1"/>
      <c r="D175" s="1"/>
      <c r="E175" s="1"/>
      <c r="F175" s="1"/>
      <c r="G175" s="1"/>
      <c r="H175" s="1"/>
      <c r="J175" s="1"/>
      <c r="K175" s="1"/>
      <c r="L175" s="1"/>
      <c r="M175" s="1"/>
      <c r="N175" s="1"/>
      <c r="O175" s="1"/>
      <c r="P175" s="1"/>
    </row>
    <row r="176" spans="1:16" ht="15.75" customHeight="1">
      <c r="A176" s="1"/>
      <c r="C176" s="1"/>
      <c r="D176" s="1"/>
      <c r="E176" s="1"/>
      <c r="F176" s="1"/>
      <c r="G176" s="1"/>
      <c r="H176" s="1"/>
      <c r="J176" s="1"/>
      <c r="K176" s="1"/>
      <c r="L176" s="1"/>
      <c r="M176" s="1"/>
      <c r="N176" s="1"/>
      <c r="O176" s="1"/>
      <c r="P176" s="1"/>
    </row>
    <row r="177" spans="1:16" ht="15.75" customHeight="1">
      <c r="A177" s="1"/>
      <c r="C177" s="1"/>
      <c r="D177" s="1"/>
      <c r="E177" s="1"/>
      <c r="F177" s="1"/>
      <c r="G177" s="1"/>
      <c r="H177" s="1"/>
      <c r="J177" s="1"/>
      <c r="K177" s="1"/>
      <c r="L177" s="1"/>
      <c r="M177" s="1"/>
      <c r="N177" s="1"/>
      <c r="O177" s="1"/>
      <c r="P177" s="1"/>
    </row>
    <row r="178" spans="1:16" ht="15.75" customHeight="1">
      <c r="A178" s="1"/>
      <c r="C178" s="1"/>
      <c r="D178" s="1"/>
      <c r="E178" s="1"/>
      <c r="F178" s="1"/>
      <c r="G178" s="1"/>
      <c r="H178" s="1"/>
      <c r="J178" s="1"/>
      <c r="K178" s="1"/>
      <c r="L178" s="1"/>
      <c r="M178" s="1"/>
      <c r="N178" s="1"/>
      <c r="O178" s="1"/>
      <c r="P178" s="1"/>
    </row>
    <row r="179" spans="1:16" ht="15.75" customHeight="1">
      <c r="A179" s="1"/>
      <c r="C179" s="1"/>
      <c r="D179" s="1"/>
      <c r="E179" s="1"/>
      <c r="F179" s="1"/>
      <c r="G179" s="1"/>
      <c r="H179" s="1"/>
      <c r="J179" s="1"/>
      <c r="K179" s="1"/>
      <c r="L179" s="1"/>
      <c r="M179" s="1"/>
      <c r="N179" s="1"/>
      <c r="O179" s="1"/>
      <c r="P179" s="1"/>
    </row>
    <row r="180" spans="1:16" ht="15.75" customHeight="1">
      <c r="A180" s="1"/>
      <c r="C180" s="1"/>
      <c r="D180" s="1"/>
      <c r="E180" s="1"/>
      <c r="F180" s="1"/>
      <c r="G180" s="1"/>
      <c r="H180" s="1"/>
      <c r="J180" s="1"/>
      <c r="K180" s="1"/>
      <c r="L180" s="1"/>
      <c r="M180" s="1"/>
      <c r="N180" s="1"/>
      <c r="O180" s="1"/>
      <c r="P180" s="1"/>
    </row>
    <row r="181" spans="1:16" ht="15.75" customHeight="1">
      <c r="A181" s="1"/>
      <c r="C181" s="1"/>
      <c r="D181" s="1"/>
      <c r="E181" s="1"/>
      <c r="F181" s="1"/>
      <c r="G181" s="1"/>
      <c r="H181" s="1"/>
      <c r="J181" s="1"/>
      <c r="K181" s="1"/>
      <c r="L181" s="1"/>
      <c r="M181" s="1"/>
      <c r="N181" s="1"/>
      <c r="O181" s="1"/>
      <c r="P181" s="1"/>
    </row>
    <row r="182" spans="1:16" ht="15.75" customHeight="1">
      <c r="A182" s="1"/>
      <c r="C182" s="1"/>
      <c r="D182" s="1"/>
      <c r="E182" s="1"/>
      <c r="F182" s="1"/>
      <c r="G182" s="1"/>
      <c r="H182" s="1"/>
      <c r="J182" s="1"/>
      <c r="K182" s="1"/>
      <c r="L182" s="1"/>
      <c r="M182" s="1"/>
      <c r="N182" s="1"/>
      <c r="O182" s="1"/>
      <c r="P182" s="1"/>
    </row>
    <row r="183" spans="1:16" ht="15.75" customHeight="1">
      <c r="A183" s="1"/>
      <c r="C183" s="1"/>
      <c r="D183" s="1"/>
      <c r="E183" s="1"/>
      <c r="F183" s="1"/>
      <c r="G183" s="1"/>
      <c r="H183" s="1"/>
      <c r="J183" s="1"/>
      <c r="K183" s="1"/>
      <c r="L183" s="1"/>
      <c r="M183" s="1"/>
      <c r="N183" s="1"/>
      <c r="O183" s="1"/>
      <c r="P183" s="1"/>
    </row>
    <row r="184" spans="1:16" ht="15.75" customHeight="1">
      <c r="A184" s="1"/>
      <c r="C184" s="1"/>
      <c r="D184" s="1"/>
      <c r="E184" s="1"/>
      <c r="F184" s="1"/>
      <c r="G184" s="1"/>
      <c r="H184" s="1"/>
      <c r="J184" s="1"/>
      <c r="K184" s="1"/>
      <c r="L184" s="1"/>
      <c r="M184" s="1"/>
      <c r="N184" s="1"/>
      <c r="O184" s="1"/>
      <c r="P184" s="1"/>
    </row>
    <row r="185" spans="1:16" ht="15.75" customHeight="1">
      <c r="A185" s="1"/>
      <c r="C185" s="1"/>
      <c r="D185" s="1"/>
      <c r="E185" s="1"/>
      <c r="F185" s="1"/>
      <c r="G185" s="1"/>
      <c r="H185" s="1"/>
      <c r="J185" s="1"/>
      <c r="K185" s="1"/>
      <c r="L185" s="1"/>
      <c r="M185" s="1"/>
      <c r="N185" s="1"/>
      <c r="O185" s="1"/>
      <c r="P185" s="1"/>
    </row>
    <row r="186" spans="1:16" ht="15.75" customHeight="1">
      <c r="A186" s="1"/>
      <c r="C186" s="1"/>
      <c r="D186" s="1"/>
      <c r="E186" s="1"/>
      <c r="F186" s="1"/>
      <c r="G186" s="1"/>
      <c r="H186" s="1"/>
      <c r="J186" s="1"/>
      <c r="K186" s="1"/>
      <c r="L186" s="1"/>
      <c r="M186" s="1"/>
      <c r="N186" s="1"/>
      <c r="O186" s="1"/>
      <c r="P186" s="1"/>
    </row>
    <row r="187" spans="1:16" ht="15.75" customHeight="1">
      <c r="A187" s="1"/>
      <c r="C187" s="1"/>
      <c r="D187" s="1"/>
      <c r="E187" s="1"/>
      <c r="F187" s="1"/>
      <c r="G187" s="1"/>
      <c r="H187" s="1"/>
      <c r="J187" s="1"/>
      <c r="K187" s="1"/>
      <c r="L187" s="1"/>
      <c r="M187" s="1"/>
      <c r="N187" s="1"/>
      <c r="O187" s="1"/>
      <c r="P187" s="1"/>
    </row>
    <row r="188" spans="1:16" ht="15.75" customHeight="1">
      <c r="A188" s="1"/>
      <c r="C188" s="1"/>
      <c r="D188" s="1"/>
      <c r="E188" s="1"/>
      <c r="F188" s="1"/>
      <c r="G188" s="1"/>
      <c r="H188" s="1"/>
      <c r="J188" s="1"/>
      <c r="K188" s="1"/>
      <c r="L188" s="1"/>
      <c r="M188" s="1"/>
      <c r="N188" s="1"/>
      <c r="O188" s="1"/>
      <c r="P188" s="1"/>
    </row>
    <row r="189" spans="1:16" ht="15.75" customHeight="1">
      <c r="A189" s="1"/>
      <c r="C189" s="1"/>
      <c r="D189" s="1"/>
      <c r="E189" s="1"/>
      <c r="F189" s="1"/>
      <c r="G189" s="1"/>
      <c r="H189" s="1"/>
      <c r="J189" s="1"/>
      <c r="K189" s="1"/>
      <c r="L189" s="1"/>
      <c r="M189" s="1"/>
      <c r="N189" s="1"/>
      <c r="O189" s="1"/>
      <c r="P189" s="1"/>
    </row>
    <row r="190" spans="1:16" ht="15.75" customHeight="1">
      <c r="A190" s="1"/>
      <c r="C190" s="1"/>
      <c r="D190" s="1"/>
      <c r="E190" s="1"/>
      <c r="F190" s="1"/>
      <c r="G190" s="1"/>
      <c r="H190" s="1"/>
      <c r="J190" s="1"/>
      <c r="K190" s="1"/>
      <c r="L190" s="1"/>
      <c r="M190" s="1"/>
      <c r="N190" s="1"/>
      <c r="O190" s="1"/>
      <c r="P190" s="1"/>
    </row>
    <row r="191" spans="1:16" ht="15.75" customHeight="1">
      <c r="A191" s="1"/>
      <c r="C191" s="1"/>
      <c r="D191" s="1"/>
      <c r="E191" s="1"/>
      <c r="F191" s="1"/>
      <c r="G191" s="1"/>
      <c r="H191" s="1"/>
      <c r="J191" s="1"/>
      <c r="K191" s="1"/>
      <c r="L191" s="1"/>
      <c r="M191" s="1"/>
      <c r="N191" s="1"/>
      <c r="O191" s="1"/>
      <c r="P191" s="1"/>
    </row>
    <row r="192" spans="1:16" ht="15.75" customHeight="1">
      <c r="A192" s="1"/>
      <c r="C192" s="1"/>
      <c r="D192" s="1"/>
      <c r="E192" s="1"/>
      <c r="F192" s="1"/>
      <c r="G192" s="1"/>
      <c r="H192" s="1"/>
      <c r="J192" s="1"/>
      <c r="K192" s="1"/>
      <c r="L192" s="1"/>
      <c r="M192" s="1"/>
      <c r="N192" s="1"/>
      <c r="O192" s="1"/>
      <c r="P192" s="1"/>
    </row>
    <row r="193" spans="1:16" ht="15.75" customHeight="1">
      <c r="A193" s="1"/>
      <c r="C193" s="1"/>
      <c r="D193" s="1"/>
      <c r="E193" s="1"/>
      <c r="F193" s="1"/>
      <c r="G193" s="1"/>
      <c r="H193" s="1"/>
      <c r="J193" s="1"/>
      <c r="K193" s="1"/>
      <c r="L193" s="1"/>
      <c r="M193" s="1"/>
      <c r="N193" s="1"/>
      <c r="O193" s="1"/>
      <c r="P193" s="1"/>
    </row>
    <row r="194" spans="1:16" ht="15.75" customHeight="1">
      <c r="A194" s="1"/>
      <c r="C194" s="1"/>
      <c r="D194" s="1"/>
      <c r="E194" s="1"/>
      <c r="F194" s="1"/>
      <c r="G194" s="1"/>
      <c r="H194" s="1"/>
      <c r="J194" s="1"/>
      <c r="K194" s="1"/>
      <c r="L194" s="1"/>
      <c r="M194" s="1"/>
      <c r="N194" s="1"/>
      <c r="O194" s="1"/>
      <c r="P194" s="1"/>
    </row>
    <row r="195" spans="1:16" ht="15.75" customHeight="1">
      <c r="A195" s="1"/>
      <c r="C195" s="1"/>
      <c r="D195" s="1"/>
      <c r="E195" s="1"/>
      <c r="F195" s="1"/>
      <c r="G195" s="1"/>
      <c r="H195" s="1"/>
      <c r="J195" s="1"/>
      <c r="K195" s="1"/>
      <c r="L195" s="1"/>
      <c r="M195" s="1"/>
      <c r="N195" s="1"/>
      <c r="O195" s="1"/>
      <c r="P195" s="1"/>
    </row>
    <row r="196" spans="1:16" ht="15.75" customHeight="1">
      <c r="A196" s="1"/>
      <c r="C196" s="1"/>
      <c r="D196" s="1"/>
      <c r="E196" s="1"/>
      <c r="F196" s="1"/>
      <c r="G196" s="1"/>
      <c r="H196" s="1"/>
      <c r="J196" s="1"/>
      <c r="K196" s="1"/>
      <c r="L196" s="1"/>
      <c r="M196" s="1"/>
      <c r="N196" s="1"/>
      <c r="O196" s="1"/>
      <c r="P196" s="1"/>
    </row>
    <row r="197" spans="1:16" ht="15.75" customHeight="1">
      <c r="A197" s="1"/>
      <c r="C197" s="1"/>
      <c r="D197" s="1"/>
      <c r="E197" s="1"/>
      <c r="F197" s="1"/>
      <c r="G197" s="1"/>
      <c r="H197" s="1"/>
      <c r="J197" s="1"/>
      <c r="K197" s="1"/>
      <c r="L197" s="1"/>
      <c r="M197" s="1"/>
      <c r="N197" s="1"/>
      <c r="O197" s="1"/>
      <c r="P197" s="1"/>
    </row>
    <row r="198" spans="1:16" ht="15.75" customHeight="1">
      <c r="A198" s="1"/>
      <c r="C198" s="1"/>
      <c r="D198" s="1"/>
      <c r="E198" s="1"/>
      <c r="F198" s="1"/>
      <c r="G198" s="1"/>
      <c r="H198" s="1"/>
      <c r="J198" s="1"/>
      <c r="K198" s="1"/>
      <c r="L198" s="1"/>
      <c r="M198" s="1"/>
      <c r="N198" s="1"/>
      <c r="O198" s="1"/>
      <c r="P198" s="1"/>
    </row>
    <row r="199" spans="1:16" ht="15.75" customHeight="1">
      <c r="A199" s="1"/>
      <c r="C199" s="1"/>
      <c r="D199" s="1"/>
      <c r="E199" s="1"/>
      <c r="F199" s="1"/>
      <c r="G199" s="1"/>
      <c r="H199" s="1"/>
      <c r="J199" s="1"/>
      <c r="K199" s="1"/>
      <c r="L199" s="1"/>
      <c r="M199" s="1"/>
      <c r="N199" s="1"/>
      <c r="O199" s="1"/>
      <c r="P199" s="1"/>
    </row>
    <row r="200" spans="1:16" ht="15.75" customHeight="1">
      <c r="A200" s="1"/>
      <c r="C200" s="1"/>
      <c r="D200" s="1"/>
      <c r="E200" s="1"/>
      <c r="F200" s="1"/>
      <c r="G200" s="1"/>
      <c r="H200" s="1"/>
      <c r="J200" s="1"/>
      <c r="K200" s="1"/>
      <c r="L200" s="1"/>
      <c r="M200" s="1"/>
      <c r="N200" s="1"/>
      <c r="O200" s="1"/>
      <c r="P200" s="1"/>
    </row>
    <row r="201" spans="1:16" ht="15.75" customHeight="1">
      <c r="A201" s="1"/>
      <c r="C201" s="1"/>
      <c r="D201" s="1"/>
      <c r="E201" s="1"/>
      <c r="F201" s="1"/>
      <c r="G201" s="1"/>
      <c r="H201" s="1"/>
      <c r="J201" s="1"/>
      <c r="K201" s="1"/>
      <c r="L201" s="1"/>
      <c r="M201" s="1"/>
      <c r="N201" s="1"/>
      <c r="O201" s="1"/>
      <c r="P201" s="1"/>
    </row>
    <row r="202" spans="1:16" ht="15.75" customHeight="1">
      <c r="A202" s="1"/>
      <c r="C202" s="1"/>
      <c r="D202" s="1"/>
      <c r="E202" s="1"/>
      <c r="F202" s="1"/>
      <c r="G202" s="1"/>
      <c r="H202" s="1"/>
      <c r="J202" s="1"/>
      <c r="K202" s="1"/>
      <c r="L202" s="1"/>
      <c r="M202" s="1"/>
      <c r="N202" s="1"/>
      <c r="O202" s="1"/>
      <c r="P202" s="1"/>
    </row>
    <row r="203" spans="1:16" ht="15.75" customHeight="1">
      <c r="A203" s="1"/>
      <c r="C203" s="1"/>
      <c r="D203" s="1"/>
      <c r="E203" s="1"/>
      <c r="F203" s="1"/>
      <c r="G203" s="1"/>
      <c r="H203" s="1"/>
      <c r="J203" s="1"/>
      <c r="K203" s="1"/>
      <c r="L203" s="1"/>
      <c r="M203" s="1"/>
      <c r="N203" s="1"/>
      <c r="O203" s="1"/>
      <c r="P203" s="1"/>
    </row>
    <row r="204" spans="1:16" ht="15.75" customHeight="1">
      <c r="A204" s="1"/>
      <c r="C204" s="1"/>
      <c r="D204" s="1"/>
      <c r="E204" s="1"/>
      <c r="F204" s="1"/>
      <c r="G204" s="1"/>
      <c r="H204" s="1"/>
      <c r="J204" s="1"/>
      <c r="K204" s="1"/>
      <c r="L204" s="1"/>
      <c r="M204" s="1"/>
      <c r="N204" s="1"/>
      <c r="O204" s="1"/>
      <c r="P204" s="1"/>
    </row>
    <row r="205" spans="1:16" ht="15.75" customHeight="1">
      <c r="A205" s="1"/>
      <c r="C205" s="1"/>
      <c r="D205" s="1"/>
      <c r="E205" s="1"/>
      <c r="F205" s="1"/>
      <c r="G205" s="1"/>
      <c r="H205" s="1"/>
      <c r="J205" s="1"/>
      <c r="K205" s="1"/>
      <c r="L205" s="1"/>
      <c r="M205" s="1"/>
      <c r="N205" s="1"/>
      <c r="O205" s="1"/>
      <c r="P205" s="1"/>
    </row>
    <row r="206" spans="1:16" ht="15.75" customHeight="1">
      <c r="A206" s="1"/>
      <c r="C206" s="1"/>
      <c r="D206" s="1"/>
      <c r="E206" s="1"/>
      <c r="F206" s="1"/>
      <c r="G206" s="1"/>
      <c r="H206" s="1"/>
      <c r="J206" s="1"/>
      <c r="K206" s="1"/>
      <c r="L206" s="1"/>
      <c r="M206" s="1"/>
      <c r="N206" s="1"/>
      <c r="O206" s="1"/>
      <c r="P206" s="1"/>
    </row>
    <row r="207" spans="1:16" ht="15.75" customHeight="1">
      <c r="A207" s="1"/>
      <c r="C207" s="1"/>
      <c r="D207" s="1"/>
      <c r="E207" s="1"/>
      <c r="F207" s="1"/>
      <c r="G207" s="1"/>
      <c r="H207" s="1"/>
      <c r="J207" s="1"/>
      <c r="K207" s="1"/>
      <c r="L207" s="1"/>
      <c r="M207" s="1"/>
      <c r="N207" s="1"/>
      <c r="O207" s="1"/>
      <c r="P207" s="1"/>
    </row>
    <row r="208" spans="1:16" ht="15.75" customHeight="1">
      <c r="A208" s="1"/>
      <c r="C208" s="1"/>
      <c r="D208" s="1"/>
      <c r="E208" s="1"/>
      <c r="F208" s="1"/>
      <c r="G208" s="1"/>
      <c r="H208" s="1"/>
      <c r="J208" s="1"/>
      <c r="K208" s="1"/>
      <c r="L208" s="1"/>
      <c r="M208" s="1"/>
      <c r="N208" s="1"/>
      <c r="O208" s="1"/>
      <c r="P208" s="1"/>
    </row>
    <row r="209" spans="1:16" ht="15.75" customHeight="1">
      <c r="A209" s="1"/>
      <c r="C209" s="1"/>
      <c r="D209" s="1"/>
      <c r="E209" s="1"/>
      <c r="F209" s="1"/>
      <c r="G209" s="1"/>
      <c r="H209" s="1"/>
      <c r="J209" s="1"/>
      <c r="K209" s="1"/>
      <c r="L209" s="1"/>
      <c r="M209" s="1"/>
      <c r="N209" s="1"/>
      <c r="O209" s="1"/>
      <c r="P209" s="1"/>
    </row>
    <row r="210" spans="1:16" ht="15.75" customHeight="1">
      <c r="A210" s="1"/>
      <c r="C210" s="1"/>
      <c r="D210" s="1"/>
      <c r="E210" s="1"/>
      <c r="F210" s="1"/>
      <c r="G210" s="1"/>
      <c r="H210" s="1"/>
      <c r="J210" s="1"/>
      <c r="K210" s="1"/>
      <c r="L210" s="1"/>
      <c r="M210" s="1"/>
      <c r="N210" s="1"/>
      <c r="O210" s="1"/>
      <c r="P210" s="1"/>
    </row>
    <row r="211" spans="1:16" ht="15.75" customHeight="1">
      <c r="A211" s="1"/>
      <c r="C211" s="1"/>
      <c r="D211" s="1"/>
      <c r="E211" s="1"/>
      <c r="F211" s="1"/>
      <c r="G211" s="1"/>
      <c r="H211" s="1"/>
      <c r="J211" s="1"/>
      <c r="K211" s="1"/>
      <c r="L211" s="1"/>
      <c r="M211" s="1"/>
      <c r="N211" s="1"/>
      <c r="O211" s="1"/>
      <c r="P211" s="1"/>
    </row>
    <row r="212" spans="1:16" ht="15.75" customHeight="1">
      <c r="A212" s="1"/>
      <c r="C212" s="1"/>
      <c r="D212" s="1"/>
      <c r="E212" s="1"/>
      <c r="F212" s="1"/>
      <c r="G212" s="1"/>
      <c r="H212" s="1"/>
      <c r="J212" s="1"/>
      <c r="K212" s="1"/>
      <c r="L212" s="1"/>
      <c r="M212" s="1"/>
      <c r="N212" s="1"/>
      <c r="O212" s="1"/>
      <c r="P212" s="1"/>
    </row>
    <row r="213" spans="1:16" ht="15.75" customHeight="1">
      <c r="A213" s="1"/>
      <c r="C213" s="1"/>
      <c r="D213" s="1"/>
      <c r="E213" s="1"/>
      <c r="F213" s="1"/>
      <c r="G213" s="1"/>
      <c r="H213" s="1"/>
      <c r="J213" s="1"/>
      <c r="K213" s="1"/>
      <c r="L213" s="1"/>
      <c r="M213" s="1"/>
      <c r="N213" s="1"/>
      <c r="O213" s="1"/>
      <c r="P213" s="1"/>
    </row>
    <row r="214" spans="1:16" ht="15.75" customHeight="1">
      <c r="A214" s="1"/>
      <c r="C214" s="1"/>
      <c r="D214" s="1"/>
      <c r="E214" s="1"/>
      <c r="F214" s="1"/>
      <c r="G214" s="1"/>
      <c r="H214" s="1"/>
      <c r="J214" s="1"/>
      <c r="K214" s="1"/>
      <c r="L214" s="1"/>
      <c r="M214" s="1"/>
      <c r="N214" s="1"/>
      <c r="O214" s="1"/>
      <c r="P214" s="1"/>
    </row>
    <row r="215" spans="1:16" ht="15.75" customHeight="1">
      <c r="A215" s="1"/>
      <c r="C215" s="1"/>
      <c r="D215" s="1"/>
      <c r="E215" s="1"/>
      <c r="F215" s="1"/>
      <c r="G215" s="1"/>
      <c r="H215" s="1"/>
      <c r="J215" s="1"/>
      <c r="K215" s="1"/>
      <c r="L215" s="1"/>
      <c r="M215" s="1"/>
      <c r="N215" s="1"/>
      <c r="O215" s="1"/>
      <c r="P215" s="1"/>
    </row>
    <row r="216" spans="1:16" ht="15.75" customHeight="1">
      <c r="A216" s="1"/>
      <c r="C216" s="1"/>
      <c r="D216" s="1"/>
      <c r="E216" s="1"/>
      <c r="F216" s="1"/>
      <c r="G216" s="1"/>
      <c r="H216" s="1"/>
      <c r="J216" s="1"/>
      <c r="K216" s="1"/>
      <c r="L216" s="1"/>
      <c r="M216" s="1"/>
      <c r="N216" s="1"/>
      <c r="O216" s="1"/>
      <c r="P216" s="1"/>
    </row>
    <row r="217" spans="1:16" ht="15.75" customHeight="1">
      <c r="A217" s="1"/>
      <c r="C217" s="1"/>
      <c r="D217" s="1"/>
      <c r="E217" s="1"/>
      <c r="F217" s="1"/>
      <c r="G217" s="1"/>
      <c r="H217" s="1"/>
      <c r="J217" s="1"/>
      <c r="K217" s="1"/>
      <c r="L217" s="1"/>
      <c r="M217" s="1"/>
      <c r="N217" s="1"/>
      <c r="O217" s="1"/>
      <c r="P217" s="1"/>
    </row>
    <row r="218" spans="1:16" ht="15.75" customHeight="1">
      <c r="A218" s="1"/>
      <c r="C218" s="1"/>
      <c r="D218" s="1"/>
      <c r="E218" s="1"/>
      <c r="F218" s="1"/>
      <c r="G218" s="1"/>
      <c r="H218" s="1"/>
      <c r="J218" s="1"/>
      <c r="K218" s="1"/>
      <c r="L218" s="1"/>
      <c r="M218" s="1"/>
      <c r="N218" s="1"/>
      <c r="O218" s="1"/>
      <c r="P218" s="1"/>
    </row>
    <row r="219" spans="1:16" ht="15.75" customHeight="1">
      <c r="A219" s="1"/>
      <c r="C219" s="1"/>
      <c r="D219" s="1"/>
      <c r="E219" s="1"/>
      <c r="F219" s="1"/>
      <c r="G219" s="1"/>
      <c r="H219" s="1"/>
      <c r="J219" s="1"/>
      <c r="K219" s="1"/>
      <c r="L219" s="1"/>
      <c r="M219" s="1"/>
      <c r="N219" s="1"/>
      <c r="O219" s="1"/>
      <c r="P219" s="1"/>
    </row>
    <row r="220" spans="1:16" ht="15.75" customHeight="1">
      <c r="A220" s="1"/>
      <c r="C220" s="1"/>
      <c r="D220" s="1"/>
      <c r="E220" s="1"/>
      <c r="F220" s="1"/>
      <c r="G220" s="1"/>
      <c r="H220" s="1"/>
      <c r="J220" s="1"/>
      <c r="K220" s="1"/>
      <c r="L220" s="1"/>
      <c r="M220" s="1"/>
      <c r="N220" s="1"/>
      <c r="O220" s="1"/>
      <c r="P220" s="1"/>
    </row>
    <row r="221" spans="1:16" ht="15.75" customHeight="1">
      <c r="A221" s="1"/>
      <c r="C221" s="1"/>
      <c r="D221" s="1"/>
      <c r="E221" s="1"/>
      <c r="F221" s="1"/>
      <c r="G221" s="1"/>
      <c r="H221" s="1"/>
      <c r="J221" s="1"/>
      <c r="K221" s="1"/>
      <c r="L221" s="1"/>
      <c r="M221" s="1"/>
      <c r="N221" s="1"/>
      <c r="O221" s="1"/>
      <c r="P221" s="1"/>
    </row>
    <row r="222" spans="1:16" ht="15.75" customHeight="1">
      <c r="A222" s="1"/>
      <c r="C222" s="1"/>
      <c r="D222" s="1"/>
      <c r="E222" s="1"/>
      <c r="F222" s="1"/>
      <c r="G222" s="1"/>
      <c r="H222" s="1"/>
      <c r="J222" s="1"/>
      <c r="K222" s="1"/>
      <c r="L222" s="1"/>
      <c r="M222" s="1"/>
      <c r="N222" s="1"/>
      <c r="O222" s="1"/>
      <c r="P222" s="1"/>
    </row>
    <row r="223" spans="1:16" ht="15.75" customHeight="1">
      <c r="A223" s="1"/>
      <c r="C223" s="1"/>
      <c r="D223" s="1"/>
      <c r="E223" s="1"/>
      <c r="F223" s="1"/>
      <c r="G223" s="1"/>
      <c r="H223" s="1"/>
      <c r="J223" s="1"/>
      <c r="K223" s="1"/>
      <c r="L223" s="1"/>
      <c r="M223" s="1"/>
      <c r="N223" s="1"/>
      <c r="O223" s="1"/>
      <c r="P223" s="1"/>
    </row>
    <row r="224" spans="1:16" ht="15.75" customHeight="1">
      <c r="A224" s="1"/>
      <c r="C224" s="1"/>
      <c r="D224" s="1"/>
      <c r="E224" s="1"/>
      <c r="F224" s="1"/>
      <c r="G224" s="1"/>
      <c r="H224" s="1"/>
      <c r="J224" s="1"/>
      <c r="K224" s="1"/>
      <c r="L224" s="1"/>
      <c r="M224" s="1"/>
      <c r="N224" s="1"/>
      <c r="O224" s="1"/>
      <c r="P224" s="1"/>
    </row>
    <row r="225" spans="1:16" ht="15.75" customHeight="1">
      <c r="A225" s="1"/>
      <c r="C225" s="1"/>
      <c r="D225" s="1"/>
      <c r="E225" s="1"/>
      <c r="F225" s="1"/>
      <c r="G225" s="1"/>
      <c r="H225" s="1"/>
      <c r="J225" s="1"/>
      <c r="K225" s="1"/>
      <c r="L225" s="1"/>
      <c r="M225" s="1"/>
      <c r="N225" s="1"/>
      <c r="O225" s="1"/>
      <c r="P225" s="1"/>
    </row>
    <row r="226" spans="1:16" ht="15.75" customHeight="1">
      <c r="A226" s="1"/>
      <c r="C226" s="1"/>
      <c r="D226" s="1"/>
      <c r="E226" s="1"/>
      <c r="F226" s="1"/>
      <c r="G226" s="1"/>
      <c r="H226" s="1"/>
      <c r="J226" s="1"/>
      <c r="K226" s="1"/>
      <c r="L226" s="1"/>
      <c r="M226" s="1"/>
      <c r="N226" s="1"/>
      <c r="O226" s="1"/>
      <c r="P226" s="1"/>
    </row>
    <row r="227" spans="1:16" ht="15.75" customHeight="1">
      <c r="A227" s="1"/>
      <c r="C227" s="1"/>
      <c r="D227" s="1"/>
      <c r="E227" s="1"/>
      <c r="F227" s="1"/>
      <c r="G227" s="1"/>
      <c r="H227" s="1"/>
      <c r="J227" s="1"/>
      <c r="K227" s="1"/>
      <c r="L227" s="1"/>
      <c r="M227" s="1"/>
      <c r="N227" s="1"/>
      <c r="O227" s="1"/>
      <c r="P227" s="1"/>
    </row>
    <row r="228" spans="1:16" ht="15.75" customHeight="1">
      <c r="A228" s="1"/>
      <c r="C228" s="1"/>
      <c r="D228" s="1"/>
      <c r="E228" s="1"/>
      <c r="F228" s="1"/>
      <c r="G228" s="1"/>
      <c r="H228" s="1"/>
      <c r="J228" s="1"/>
      <c r="K228" s="1"/>
      <c r="L228" s="1"/>
      <c r="M228" s="1"/>
      <c r="N228" s="1"/>
      <c r="O228" s="1"/>
      <c r="P228" s="1"/>
    </row>
    <row r="229" spans="1:16" ht="15.75" customHeight="1">
      <c r="A229" s="1"/>
      <c r="C229" s="1"/>
      <c r="D229" s="1"/>
      <c r="E229" s="1"/>
      <c r="F229" s="1"/>
      <c r="G229" s="1"/>
      <c r="H229" s="1"/>
      <c r="J229" s="1"/>
      <c r="K229" s="1"/>
      <c r="L229" s="1"/>
      <c r="M229" s="1"/>
      <c r="N229" s="1"/>
      <c r="O229" s="1"/>
      <c r="P229" s="1"/>
    </row>
    <row r="230" spans="1:16" ht="15.75" customHeight="1">
      <c r="A230" s="1"/>
      <c r="C230" s="1"/>
      <c r="D230" s="1"/>
      <c r="E230" s="1"/>
      <c r="F230" s="1"/>
      <c r="G230" s="1"/>
      <c r="H230" s="1"/>
      <c r="J230" s="1"/>
      <c r="K230" s="1"/>
      <c r="L230" s="1"/>
      <c r="M230" s="1"/>
      <c r="N230" s="1"/>
      <c r="O230" s="1"/>
      <c r="P230" s="1"/>
    </row>
    <row r="231" spans="1:16" ht="15.75" customHeight="1">
      <c r="A231" s="1"/>
      <c r="C231" s="1"/>
      <c r="D231" s="1"/>
      <c r="E231" s="1"/>
      <c r="F231" s="1"/>
      <c r="G231" s="1"/>
      <c r="H231" s="1"/>
      <c r="J231" s="1"/>
      <c r="K231" s="1"/>
      <c r="L231" s="1"/>
      <c r="M231" s="1"/>
      <c r="N231" s="1"/>
      <c r="O231" s="1"/>
      <c r="P231" s="1"/>
    </row>
    <row r="232" spans="1:16" ht="15.75" customHeight="1">
      <c r="A232" s="1"/>
      <c r="C232" s="1"/>
      <c r="D232" s="1"/>
      <c r="E232" s="1"/>
      <c r="F232" s="1"/>
      <c r="G232" s="1"/>
      <c r="H232" s="1"/>
      <c r="J232" s="1"/>
      <c r="K232" s="1"/>
      <c r="L232" s="1"/>
      <c r="M232" s="1"/>
      <c r="N232" s="1"/>
      <c r="O232" s="1"/>
      <c r="P232" s="1"/>
    </row>
    <row r="233" spans="1:16" ht="15.75" customHeight="1">
      <c r="A233" s="1"/>
      <c r="C233" s="1"/>
      <c r="D233" s="1"/>
      <c r="E233" s="1"/>
      <c r="F233" s="1"/>
      <c r="G233" s="1"/>
      <c r="H233" s="1"/>
      <c r="J233" s="1"/>
      <c r="K233" s="1"/>
      <c r="L233" s="1"/>
      <c r="M233" s="1"/>
      <c r="N233" s="1"/>
      <c r="O233" s="1"/>
      <c r="P233" s="1"/>
    </row>
    <row r="234" spans="1:16" ht="15.75" customHeight="1">
      <c r="A234" s="1"/>
      <c r="C234" s="1"/>
      <c r="D234" s="1"/>
      <c r="E234" s="1"/>
      <c r="F234" s="1"/>
      <c r="G234" s="1"/>
      <c r="H234" s="1"/>
      <c r="J234" s="1"/>
      <c r="K234" s="1"/>
      <c r="L234" s="1"/>
      <c r="M234" s="1"/>
      <c r="N234" s="1"/>
      <c r="O234" s="1"/>
      <c r="P234" s="1"/>
    </row>
    <row r="235" spans="1:16" ht="15.75" customHeight="1">
      <c r="A235" s="1"/>
      <c r="C235" s="1"/>
      <c r="D235" s="1"/>
      <c r="E235" s="1"/>
      <c r="F235" s="1"/>
      <c r="G235" s="1"/>
      <c r="H235" s="1"/>
      <c r="J235" s="1"/>
      <c r="K235" s="1"/>
      <c r="L235" s="1"/>
      <c r="M235" s="1"/>
      <c r="N235" s="1"/>
      <c r="O235" s="1"/>
      <c r="P235" s="1"/>
    </row>
    <row r="236" spans="1:16" ht="15.75" customHeight="1">
      <c r="A236" s="1"/>
      <c r="C236" s="1"/>
      <c r="D236" s="1"/>
      <c r="E236" s="1"/>
      <c r="F236" s="1"/>
      <c r="G236" s="1"/>
      <c r="H236" s="1"/>
      <c r="J236" s="1"/>
      <c r="K236" s="1"/>
      <c r="L236" s="1"/>
      <c r="M236" s="1"/>
      <c r="N236" s="1"/>
      <c r="O236" s="1"/>
      <c r="P236" s="1"/>
    </row>
    <row r="237" spans="1:16" ht="15.75" customHeight="1">
      <c r="A237" s="1"/>
      <c r="C237" s="1"/>
      <c r="D237" s="1"/>
      <c r="E237" s="1"/>
      <c r="F237" s="1"/>
      <c r="G237" s="1"/>
      <c r="H237" s="1"/>
      <c r="J237" s="1"/>
      <c r="K237" s="1"/>
      <c r="L237" s="1"/>
      <c r="M237" s="1"/>
      <c r="N237" s="1"/>
      <c r="O237" s="1"/>
      <c r="P237" s="1"/>
    </row>
    <row r="238" spans="1:16" ht="15.75" customHeight="1">
      <c r="A238" s="1"/>
      <c r="C238" s="1"/>
      <c r="D238" s="1"/>
      <c r="E238" s="1"/>
      <c r="F238" s="1"/>
      <c r="G238" s="1"/>
      <c r="H238" s="1"/>
      <c r="J238" s="1"/>
      <c r="K238" s="1"/>
      <c r="L238" s="1"/>
      <c r="M238" s="1"/>
      <c r="N238" s="1"/>
      <c r="O238" s="1"/>
      <c r="P238" s="1"/>
    </row>
    <row r="239" spans="1:16" ht="15.75" customHeight="1">
      <c r="A239" s="1"/>
      <c r="C239" s="1"/>
      <c r="D239" s="1"/>
      <c r="E239" s="1"/>
      <c r="F239" s="1"/>
      <c r="G239" s="1"/>
      <c r="H239" s="1"/>
      <c r="J239" s="1"/>
      <c r="K239" s="1"/>
      <c r="L239" s="1"/>
      <c r="M239" s="1"/>
      <c r="N239" s="1"/>
      <c r="O239" s="1"/>
      <c r="P239" s="1"/>
    </row>
    <row r="240" spans="1:16" ht="15.75" customHeight="1">
      <c r="A240" s="1"/>
      <c r="C240" s="1"/>
      <c r="D240" s="1"/>
      <c r="E240" s="1"/>
      <c r="F240" s="1"/>
      <c r="G240" s="1"/>
      <c r="H240" s="1"/>
      <c r="J240" s="1"/>
      <c r="K240" s="1"/>
      <c r="L240" s="1"/>
      <c r="M240" s="1"/>
      <c r="N240" s="1"/>
      <c r="O240" s="1"/>
      <c r="P240" s="1"/>
    </row>
    <row r="241" spans="1:16" ht="15.75" customHeight="1">
      <c r="A241" s="1"/>
      <c r="C241" s="1"/>
      <c r="D241" s="1"/>
      <c r="E241" s="1"/>
      <c r="F241" s="1"/>
      <c r="G241" s="1"/>
      <c r="H241" s="1"/>
      <c r="J241" s="1"/>
      <c r="K241" s="1"/>
      <c r="L241" s="1"/>
      <c r="M241" s="1"/>
      <c r="N241" s="1"/>
      <c r="O241" s="1"/>
      <c r="P241" s="1"/>
    </row>
    <row r="242" spans="1:16" ht="15.75" customHeight="1">
      <c r="A242" s="1"/>
      <c r="C242" s="1"/>
      <c r="D242" s="1"/>
      <c r="E242" s="1"/>
      <c r="F242" s="1"/>
      <c r="G242" s="1"/>
      <c r="H242" s="1"/>
      <c r="J242" s="1"/>
      <c r="K242" s="1"/>
      <c r="L242" s="1"/>
      <c r="M242" s="1"/>
      <c r="N242" s="1"/>
      <c r="O242" s="1"/>
      <c r="P242" s="1"/>
    </row>
    <row r="243" spans="1:16" ht="15.75" customHeight="1">
      <c r="A243" s="1"/>
      <c r="C243" s="1"/>
      <c r="D243" s="1"/>
      <c r="E243" s="1"/>
      <c r="F243" s="1"/>
      <c r="G243" s="1"/>
      <c r="H243" s="1"/>
      <c r="J243" s="1"/>
      <c r="K243" s="1"/>
      <c r="L243" s="1"/>
      <c r="M243" s="1"/>
      <c r="N243" s="1"/>
      <c r="O243" s="1"/>
      <c r="P243" s="1"/>
    </row>
    <row r="244" spans="1:16" ht="15.75" customHeight="1">
      <c r="A244" s="1"/>
      <c r="C244" s="1"/>
      <c r="D244" s="1"/>
      <c r="E244" s="1"/>
      <c r="F244" s="1"/>
      <c r="G244" s="1"/>
      <c r="H244" s="1"/>
      <c r="J244" s="1"/>
      <c r="K244" s="1"/>
      <c r="L244" s="1"/>
      <c r="M244" s="1"/>
      <c r="N244" s="1"/>
      <c r="O244" s="1"/>
      <c r="P244" s="1"/>
    </row>
    <row r="245" spans="1:16" ht="15.75" customHeight="1">
      <c r="A245" s="1"/>
      <c r="C245" s="1"/>
      <c r="D245" s="1"/>
      <c r="E245" s="1"/>
      <c r="F245" s="1"/>
      <c r="G245" s="1"/>
      <c r="H245" s="1"/>
      <c r="J245" s="1"/>
      <c r="K245" s="1"/>
      <c r="L245" s="1"/>
      <c r="M245" s="1"/>
      <c r="N245" s="1"/>
      <c r="O245" s="1"/>
      <c r="P245" s="1"/>
    </row>
    <row r="246" spans="1:16" ht="15.75" customHeight="1">
      <c r="A246" s="1"/>
      <c r="C246" s="1"/>
      <c r="D246" s="1"/>
      <c r="E246" s="1"/>
      <c r="F246" s="1"/>
      <c r="G246" s="1"/>
      <c r="H246" s="1"/>
      <c r="J246" s="1"/>
      <c r="K246" s="1"/>
      <c r="L246" s="1"/>
      <c r="M246" s="1"/>
      <c r="N246" s="1"/>
      <c r="O246" s="1"/>
      <c r="P246" s="1"/>
    </row>
    <row r="247" spans="1:16" ht="15.75" customHeight="1">
      <c r="A247" s="1"/>
      <c r="C247" s="1"/>
      <c r="D247" s="1"/>
      <c r="E247" s="1"/>
      <c r="F247" s="1"/>
      <c r="G247" s="1"/>
      <c r="H247" s="1"/>
      <c r="J247" s="1"/>
      <c r="K247" s="1"/>
      <c r="L247" s="1"/>
      <c r="M247" s="1"/>
      <c r="N247" s="1"/>
      <c r="O247" s="1"/>
      <c r="P247" s="1"/>
    </row>
    <row r="248" spans="1:16" ht="15.75" customHeight="1">
      <c r="A248" s="1"/>
      <c r="C248" s="1"/>
      <c r="D248" s="1"/>
      <c r="E248" s="1"/>
      <c r="F248" s="1"/>
      <c r="G248" s="1"/>
      <c r="H248" s="1"/>
      <c r="J248" s="1"/>
      <c r="K248" s="1"/>
      <c r="L248" s="1"/>
      <c r="M248" s="1"/>
      <c r="N248" s="1"/>
      <c r="O248" s="1"/>
      <c r="P248" s="1"/>
    </row>
    <row r="249" spans="1:16" ht="15.75" customHeight="1">
      <c r="A249" s="1"/>
      <c r="C249" s="1"/>
      <c r="D249" s="1"/>
      <c r="E249" s="1"/>
      <c r="F249" s="1"/>
      <c r="G249" s="1"/>
      <c r="H249" s="1"/>
      <c r="J249" s="1"/>
      <c r="K249" s="1"/>
      <c r="L249" s="1"/>
      <c r="M249" s="1"/>
      <c r="N249" s="1"/>
      <c r="O249" s="1"/>
      <c r="P249" s="1"/>
    </row>
    <row r="250" spans="1:16" ht="15.75" customHeight="1">
      <c r="A250" s="1"/>
      <c r="C250" s="1"/>
      <c r="D250" s="1"/>
      <c r="E250" s="1"/>
      <c r="F250" s="1"/>
      <c r="G250" s="1"/>
      <c r="H250" s="1"/>
      <c r="J250" s="1"/>
      <c r="K250" s="1"/>
      <c r="L250" s="1"/>
      <c r="M250" s="1"/>
      <c r="N250" s="1"/>
      <c r="O250" s="1"/>
      <c r="P250" s="1"/>
    </row>
    <row r="251" spans="1:16" ht="15.75" customHeight="1">
      <c r="A251" s="1"/>
      <c r="C251" s="1"/>
      <c r="D251" s="1"/>
      <c r="E251" s="1"/>
      <c r="F251" s="1"/>
      <c r="G251" s="1"/>
      <c r="H251" s="1"/>
      <c r="J251" s="1"/>
      <c r="K251" s="1"/>
      <c r="L251" s="1"/>
      <c r="M251" s="1"/>
      <c r="N251" s="1"/>
      <c r="O251" s="1"/>
      <c r="P251" s="1"/>
    </row>
    <row r="252" spans="1:16" ht="15.75" customHeight="1">
      <c r="A252" s="1"/>
      <c r="C252" s="1"/>
      <c r="D252" s="1"/>
      <c r="E252" s="1"/>
      <c r="F252" s="1"/>
      <c r="G252" s="1"/>
      <c r="H252" s="1"/>
      <c r="J252" s="1"/>
      <c r="K252" s="1"/>
      <c r="L252" s="1"/>
      <c r="M252" s="1"/>
      <c r="N252" s="1"/>
      <c r="O252" s="1"/>
      <c r="P252" s="1"/>
    </row>
    <row r="253" spans="1:16" ht="15.75" customHeight="1">
      <c r="A253" s="1"/>
      <c r="C253" s="1"/>
      <c r="D253" s="1"/>
      <c r="E253" s="1"/>
      <c r="F253" s="1"/>
      <c r="G253" s="1"/>
      <c r="H253" s="1"/>
      <c r="J253" s="1"/>
      <c r="K253" s="1"/>
      <c r="L253" s="1"/>
      <c r="M253" s="1"/>
      <c r="N253" s="1"/>
      <c r="O253" s="1"/>
      <c r="P253" s="1"/>
    </row>
    <row r="254" spans="1:16" ht="15.75" customHeight="1">
      <c r="A254" s="1"/>
      <c r="C254" s="1"/>
      <c r="D254" s="1"/>
      <c r="E254" s="1"/>
      <c r="F254" s="1"/>
      <c r="G254" s="1"/>
      <c r="H254" s="1"/>
      <c r="J254" s="1"/>
      <c r="K254" s="1"/>
      <c r="L254" s="1"/>
      <c r="M254" s="1"/>
      <c r="N254" s="1"/>
      <c r="O254" s="1"/>
      <c r="P254" s="1"/>
    </row>
    <row r="255" spans="1:16" ht="15.75" customHeight="1">
      <c r="A255" s="1"/>
      <c r="C255" s="1"/>
      <c r="D255" s="1"/>
      <c r="E255" s="1"/>
      <c r="F255" s="1"/>
      <c r="G255" s="1"/>
      <c r="H255" s="1"/>
      <c r="J255" s="1"/>
      <c r="K255" s="1"/>
      <c r="L255" s="1"/>
      <c r="M255" s="1"/>
      <c r="N255" s="1"/>
      <c r="O255" s="1"/>
      <c r="P255" s="1"/>
    </row>
    <row r="256" spans="1:16" ht="15.75" customHeight="1">
      <c r="A256" s="1"/>
      <c r="C256" s="1"/>
      <c r="D256" s="1"/>
      <c r="E256" s="1"/>
      <c r="F256" s="1"/>
      <c r="G256" s="1"/>
      <c r="H256" s="1"/>
      <c r="J256" s="1"/>
      <c r="K256" s="1"/>
      <c r="L256" s="1"/>
      <c r="M256" s="1"/>
      <c r="N256" s="1"/>
      <c r="O256" s="1"/>
      <c r="P256" s="1"/>
    </row>
    <row r="257" spans="1:16" ht="15.75" customHeight="1">
      <c r="A257" s="1"/>
      <c r="C257" s="1"/>
      <c r="D257" s="1"/>
      <c r="E257" s="1"/>
      <c r="F257" s="1"/>
      <c r="G257" s="1"/>
      <c r="H257" s="1"/>
      <c r="J257" s="1"/>
      <c r="K257" s="1"/>
      <c r="L257" s="1"/>
      <c r="M257" s="1"/>
      <c r="N257" s="1"/>
      <c r="O257" s="1"/>
      <c r="P257" s="1"/>
    </row>
    <row r="258" spans="1:16" ht="15.75" customHeight="1">
      <c r="A258" s="1"/>
      <c r="C258" s="1"/>
      <c r="D258" s="1"/>
      <c r="E258" s="1"/>
      <c r="F258" s="1"/>
      <c r="G258" s="1"/>
      <c r="H258" s="1"/>
      <c r="J258" s="1"/>
      <c r="K258" s="1"/>
      <c r="L258" s="1"/>
      <c r="M258" s="1"/>
      <c r="N258" s="1"/>
      <c r="O258" s="1"/>
      <c r="P258" s="1"/>
    </row>
    <row r="259" spans="1:16" ht="15.75" customHeight="1">
      <c r="A259" s="1"/>
      <c r="C259" s="1"/>
      <c r="D259" s="1"/>
      <c r="E259" s="1"/>
      <c r="F259" s="1"/>
      <c r="G259" s="1"/>
      <c r="H259" s="1"/>
      <c r="J259" s="1"/>
      <c r="K259" s="1"/>
      <c r="L259" s="1"/>
      <c r="M259" s="1"/>
      <c r="N259" s="1"/>
      <c r="O259" s="1"/>
      <c r="P259" s="1"/>
    </row>
    <row r="260" spans="1:16" ht="15.75" customHeight="1">
      <c r="A260" s="1"/>
      <c r="C260" s="1"/>
      <c r="D260" s="1"/>
      <c r="E260" s="1"/>
      <c r="F260" s="1"/>
      <c r="G260" s="1"/>
      <c r="H260" s="1"/>
      <c r="J260" s="1"/>
      <c r="K260" s="1"/>
      <c r="L260" s="1"/>
      <c r="M260" s="1"/>
      <c r="N260" s="1"/>
      <c r="O260" s="1"/>
      <c r="P260" s="1"/>
    </row>
    <row r="261" spans="1:16" ht="15.75" customHeight="1">
      <c r="A261" s="1"/>
      <c r="C261" s="1"/>
      <c r="D261" s="1"/>
      <c r="E261" s="1"/>
      <c r="F261" s="1"/>
      <c r="G261" s="1"/>
      <c r="H261" s="1"/>
      <c r="J261" s="1"/>
      <c r="K261" s="1"/>
      <c r="L261" s="1"/>
      <c r="M261" s="1"/>
      <c r="N261" s="1"/>
      <c r="O261" s="1"/>
      <c r="P261" s="1"/>
    </row>
    <row r="262" spans="1:16" ht="15.75" customHeight="1">
      <c r="A262" s="1"/>
      <c r="C262" s="1"/>
      <c r="D262" s="1"/>
      <c r="E262" s="1"/>
      <c r="F262" s="1"/>
      <c r="G262" s="1"/>
      <c r="H262" s="1"/>
      <c r="J262" s="1"/>
      <c r="K262" s="1"/>
      <c r="L262" s="1"/>
      <c r="M262" s="1"/>
      <c r="N262" s="1"/>
      <c r="O262" s="1"/>
      <c r="P262" s="1"/>
    </row>
    <row r="263" spans="1:16" ht="15.75" customHeight="1">
      <c r="A263" s="1"/>
      <c r="C263" s="1"/>
      <c r="D263" s="1"/>
      <c r="E263" s="1"/>
      <c r="F263" s="1"/>
      <c r="G263" s="1"/>
      <c r="H263" s="1"/>
      <c r="J263" s="1"/>
      <c r="K263" s="1"/>
      <c r="L263" s="1"/>
      <c r="M263" s="1"/>
      <c r="N263" s="1"/>
      <c r="O263" s="1"/>
      <c r="P263" s="1"/>
    </row>
    <row r="264" spans="1:16" ht="15.75" customHeight="1">
      <c r="A264" s="1"/>
      <c r="C264" s="1"/>
      <c r="D264" s="1"/>
      <c r="E264" s="1"/>
      <c r="F264" s="1"/>
      <c r="G264" s="1"/>
      <c r="H264" s="1"/>
      <c r="J264" s="1"/>
      <c r="K264" s="1"/>
      <c r="L264" s="1"/>
      <c r="M264" s="1"/>
      <c r="N264" s="1"/>
      <c r="O264" s="1"/>
      <c r="P264" s="1"/>
    </row>
    <row r="265" spans="1:16" ht="15.75" customHeight="1">
      <c r="A265" s="1"/>
      <c r="C265" s="1"/>
      <c r="D265" s="1"/>
      <c r="E265" s="1"/>
      <c r="F265" s="1"/>
      <c r="G265" s="1"/>
      <c r="H265" s="1"/>
      <c r="J265" s="1"/>
      <c r="K265" s="1"/>
      <c r="L265" s="1"/>
      <c r="M265" s="1"/>
      <c r="N265" s="1"/>
      <c r="O265" s="1"/>
      <c r="P265" s="1"/>
    </row>
    <row r="266" spans="1:16" ht="15.75" customHeight="1">
      <c r="A266" s="1"/>
      <c r="C266" s="1"/>
      <c r="D266" s="1"/>
      <c r="E266" s="1"/>
      <c r="F266" s="1"/>
      <c r="G266" s="1"/>
      <c r="H266" s="1"/>
      <c r="J266" s="1"/>
      <c r="K266" s="1"/>
      <c r="L266" s="1"/>
      <c r="M266" s="1"/>
      <c r="N266" s="1"/>
      <c r="O266" s="1"/>
      <c r="P266" s="1"/>
    </row>
    <row r="267" spans="1:16" ht="15.75" customHeight="1">
      <c r="A267" s="1"/>
      <c r="C267" s="1"/>
      <c r="D267" s="1"/>
      <c r="E267" s="1"/>
      <c r="F267" s="1"/>
      <c r="G267" s="1"/>
      <c r="H267" s="1"/>
      <c r="J267" s="1"/>
      <c r="K267" s="1"/>
      <c r="L267" s="1"/>
      <c r="M267" s="1"/>
      <c r="N267" s="1"/>
      <c r="O267" s="1"/>
      <c r="P267" s="1"/>
    </row>
    <row r="268" spans="1:16" ht="15.75" customHeight="1">
      <c r="A268" s="1"/>
      <c r="C268" s="1"/>
      <c r="D268" s="1"/>
      <c r="E268" s="1"/>
      <c r="F268" s="1"/>
      <c r="G268" s="1"/>
      <c r="H268" s="1"/>
      <c r="J268" s="1"/>
      <c r="K268" s="1"/>
      <c r="L268" s="1"/>
      <c r="M268" s="1"/>
      <c r="N268" s="1"/>
      <c r="O268" s="1"/>
      <c r="P268" s="1"/>
    </row>
    <row r="269" spans="1:16" ht="15.75" customHeight="1">
      <c r="A269" s="1"/>
      <c r="C269" s="1"/>
      <c r="D269" s="1"/>
      <c r="E269" s="1"/>
      <c r="F269" s="1"/>
      <c r="G269" s="1"/>
      <c r="H269" s="1"/>
      <c r="J269" s="1"/>
      <c r="K269" s="1"/>
      <c r="L269" s="1"/>
      <c r="M269" s="1"/>
      <c r="N269" s="1"/>
      <c r="O269" s="1"/>
      <c r="P269" s="1"/>
    </row>
    <row r="270" spans="1:16" ht="15.75" customHeight="1">
      <c r="A270" s="1"/>
      <c r="C270" s="1"/>
      <c r="D270" s="1"/>
      <c r="E270" s="1"/>
      <c r="F270" s="1"/>
      <c r="G270" s="1"/>
      <c r="H270" s="1"/>
      <c r="J270" s="1"/>
      <c r="K270" s="1"/>
      <c r="L270" s="1"/>
      <c r="M270" s="1"/>
      <c r="N270" s="1"/>
      <c r="O270" s="1"/>
      <c r="P270" s="1"/>
    </row>
    <row r="271" spans="1:16" ht="15.75" customHeight="1">
      <c r="A271" s="1"/>
      <c r="C271" s="1"/>
      <c r="D271" s="1"/>
      <c r="E271" s="1"/>
      <c r="F271" s="1"/>
      <c r="G271" s="1"/>
      <c r="H271" s="1"/>
      <c r="J271" s="1"/>
      <c r="K271" s="1"/>
      <c r="L271" s="1"/>
      <c r="M271" s="1"/>
      <c r="N271" s="1"/>
      <c r="O271" s="1"/>
      <c r="P271" s="1"/>
    </row>
    <row r="272" spans="1:16" ht="15.75" customHeight="1">
      <c r="A272" s="1"/>
      <c r="C272" s="1"/>
      <c r="D272" s="1"/>
      <c r="E272" s="1"/>
      <c r="F272" s="1"/>
      <c r="G272" s="1"/>
      <c r="H272" s="1"/>
      <c r="J272" s="1"/>
      <c r="K272" s="1"/>
      <c r="L272" s="1"/>
      <c r="M272" s="1"/>
      <c r="N272" s="1"/>
      <c r="O272" s="1"/>
      <c r="P272" s="1"/>
    </row>
    <row r="273" spans="1:16" ht="15.75" customHeight="1">
      <c r="A273" s="1"/>
      <c r="C273" s="1"/>
      <c r="D273" s="1"/>
      <c r="E273" s="1"/>
      <c r="F273" s="1"/>
      <c r="G273" s="1"/>
      <c r="H273" s="1"/>
      <c r="J273" s="1"/>
      <c r="K273" s="1"/>
      <c r="L273" s="1"/>
      <c r="M273" s="1"/>
      <c r="N273" s="1"/>
      <c r="O273" s="1"/>
      <c r="P273" s="1"/>
    </row>
    <row r="274" spans="1:16" ht="15.75" customHeight="1">
      <c r="A274" s="1"/>
      <c r="C274" s="1"/>
      <c r="D274" s="1"/>
      <c r="E274" s="1"/>
      <c r="F274" s="1"/>
      <c r="G274" s="1"/>
      <c r="H274" s="1"/>
      <c r="J274" s="1"/>
      <c r="K274" s="1"/>
      <c r="L274" s="1"/>
      <c r="M274" s="1"/>
      <c r="N274" s="1"/>
      <c r="O274" s="1"/>
      <c r="P274" s="1"/>
    </row>
    <row r="275" spans="1:16" ht="15.75" customHeight="1">
      <c r="A275" s="1"/>
      <c r="C275" s="1"/>
      <c r="D275" s="1"/>
      <c r="E275" s="1"/>
      <c r="F275" s="1"/>
      <c r="G275" s="1"/>
      <c r="H275" s="1"/>
      <c r="J275" s="1"/>
      <c r="K275" s="1"/>
      <c r="L275" s="1"/>
      <c r="M275" s="1"/>
      <c r="N275" s="1"/>
      <c r="O275" s="1"/>
      <c r="P275" s="1"/>
    </row>
    <row r="276" spans="1:16" ht="15.75" customHeight="1">
      <c r="A276" s="1"/>
      <c r="C276" s="1"/>
      <c r="D276" s="1"/>
      <c r="E276" s="1"/>
      <c r="F276" s="1"/>
      <c r="G276" s="1"/>
      <c r="H276" s="1"/>
      <c r="J276" s="1"/>
      <c r="K276" s="1"/>
      <c r="L276" s="1"/>
      <c r="M276" s="1"/>
      <c r="N276" s="1"/>
      <c r="O276" s="1"/>
      <c r="P276" s="1"/>
    </row>
    <row r="277" spans="1:16" ht="15.75" customHeight="1">
      <c r="A277" s="1"/>
      <c r="C277" s="1"/>
      <c r="D277" s="1"/>
      <c r="E277" s="1"/>
      <c r="F277" s="1"/>
      <c r="G277" s="1"/>
      <c r="H277" s="1"/>
      <c r="J277" s="1"/>
      <c r="K277" s="1"/>
      <c r="L277" s="1"/>
      <c r="M277" s="1"/>
      <c r="N277" s="1"/>
      <c r="O277" s="1"/>
      <c r="P277" s="1"/>
    </row>
    <row r="278" spans="1:16" ht="15.75" customHeight="1">
      <c r="A278" s="1"/>
      <c r="C278" s="1"/>
      <c r="D278" s="1"/>
      <c r="E278" s="1"/>
      <c r="F278" s="1"/>
      <c r="G278" s="1"/>
      <c r="H278" s="1"/>
      <c r="J278" s="1"/>
      <c r="K278" s="1"/>
      <c r="L278" s="1"/>
      <c r="M278" s="1"/>
      <c r="N278" s="1"/>
      <c r="O278" s="1"/>
      <c r="P278" s="1"/>
    </row>
    <row r="279" spans="1:16" ht="15.75" customHeight="1">
      <c r="A279" s="1"/>
      <c r="C279" s="1"/>
      <c r="D279" s="1"/>
      <c r="E279" s="1"/>
      <c r="F279" s="1"/>
      <c r="G279" s="1"/>
      <c r="H279" s="1"/>
      <c r="J279" s="1"/>
      <c r="K279" s="1"/>
      <c r="L279" s="1"/>
      <c r="M279" s="1"/>
      <c r="N279" s="1"/>
      <c r="O279" s="1"/>
      <c r="P279" s="1"/>
    </row>
    <row r="280" spans="1:16" ht="15.75" customHeight="1">
      <c r="A280" s="1"/>
      <c r="C280" s="1"/>
      <c r="D280" s="1"/>
      <c r="E280" s="1"/>
      <c r="F280" s="1"/>
      <c r="G280" s="1"/>
      <c r="H280" s="1"/>
      <c r="J280" s="1"/>
      <c r="K280" s="1"/>
      <c r="L280" s="1"/>
      <c r="M280" s="1"/>
      <c r="N280" s="1"/>
      <c r="O280" s="1"/>
      <c r="P280" s="1"/>
    </row>
    <row r="281" spans="1:16" ht="15.75" customHeight="1">
      <c r="A281" s="1"/>
      <c r="C281" s="1"/>
      <c r="D281" s="1"/>
      <c r="E281" s="1"/>
      <c r="F281" s="1"/>
      <c r="G281" s="1"/>
      <c r="H281" s="1"/>
      <c r="J281" s="1"/>
      <c r="K281" s="1"/>
      <c r="L281" s="1"/>
      <c r="M281" s="1"/>
      <c r="N281" s="1"/>
      <c r="O281" s="1"/>
      <c r="P281" s="1"/>
    </row>
    <row r="282" spans="1:16" ht="15.75" customHeight="1">
      <c r="A282" s="1"/>
      <c r="C282" s="1"/>
      <c r="D282" s="1"/>
      <c r="E282" s="1"/>
      <c r="F282" s="1"/>
      <c r="G282" s="1"/>
      <c r="H282" s="1"/>
      <c r="J282" s="1"/>
      <c r="K282" s="1"/>
      <c r="L282" s="1"/>
      <c r="M282" s="1"/>
      <c r="N282" s="1"/>
      <c r="O282" s="1"/>
      <c r="P282" s="1"/>
    </row>
    <row r="283" spans="1:16" ht="15.75" customHeight="1">
      <c r="A283" s="1"/>
      <c r="C283" s="1"/>
      <c r="D283" s="1"/>
      <c r="E283" s="1"/>
      <c r="F283" s="1"/>
      <c r="G283" s="1"/>
      <c r="H283" s="1"/>
      <c r="J283" s="1"/>
      <c r="K283" s="1"/>
      <c r="L283" s="1"/>
      <c r="M283" s="1"/>
      <c r="N283" s="1"/>
      <c r="O283" s="1"/>
      <c r="P283" s="1"/>
    </row>
    <row r="284" spans="1:16" ht="15.75" customHeight="1">
      <c r="A284" s="1"/>
      <c r="C284" s="1"/>
      <c r="D284" s="1"/>
      <c r="E284" s="1"/>
      <c r="F284" s="1"/>
      <c r="G284" s="1"/>
      <c r="H284" s="1"/>
      <c r="J284" s="1"/>
      <c r="K284" s="1"/>
      <c r="L284" s="1"/>
      <c r="M284" s="1"/>
      <c r="N284" s="1"/>
      <c r="O284" s="1"/>
      <c r="P284" s="1"/>
    </row>
    <row r="285" spans="1:16" ht="15.75" customHeight="1">
      <c r="A285" s="1"/>
      <c r="C285" s="1"/>
      <c r="D285" s="1"/>
      <c r="E285" s="1"/>
      <c r="F285" s="1"/>
      <c r="G285" s="1"/>
      <c r="H285" s="1"/>
      <c r="J285" s="1"/>
      <c r="K285" s="1"/>
      <c r="L285" s="1"/>
      <c r="M285" s="1"/>
      <c r="N285" s="1"/>
      <c r="O285" s="1"/>
      <c r="P285" s="1"/>
    </row>
    <row r="286" spans="1:16" ht="15.75" customHeight="1">
      <c r="A286" s="1"/>
      <c r="C286" s="1"/>
      <c r="D286" s="1"/>
      <c r="E286" s="1"/>
      <c r="F286" s="1"/>
      <c r="G286" s="1"/>
      <c r="H286" s="1"/>
      <c r="J286" s="1"/>
      <c r="K286" s="1"/>
      <c r="L286" s="1"/>
      <c r="M286" s="1"/>
      <c r="N286" s="1"/>
      <c r="O286" s="1"/>
      <c r="P286" s="1"/>
    </row>
    <row r="287" spans="1:16" ht="15.75" customHeight="1">
      <c r="A287" s="1"/>
      <c r="C287" s="1"/>
      <c r="D287" s="1"/>
      <c r="E287" s="1"/>
      <c r="F287" s="1"/>
      <c r="G287" s="1"/>
      <c r="H287" s="1"/>
      <c r="J287" s="1"/>
      <c r="K287" s="1"/>
      <c r="L287" s="1"/>
      <c r="M287" s="1"/>
      <c r="N287" s="1"/>
      <c r="O287" s="1"/>
      <c r="P287" s="1"/>
    </row>
    <row r="288" spans="1:16" ht="15.75" customHeight="1">
      <c r="A288" s="1"/>
      <c r="C288" s="1"/>
      <c r="D288" s="1"/>
      <c r="E288" s="1"/>
      <c r="F288" s="1"/>
      <c r="G288" s="1"/>
      <c r="H288" s="1"/>
      <c r="J288" s="1"/>
      <c r="K288" s="1"/>
      <c r="L288" s="1"/>
      <c r="M288" s="1"/>
      <c r="N288" s="1"/>
      <c r="O288" s="1"/>
      <c r="P288" s="1"/>
    </row>
    <row r="289" spans="1:16" ht="15.75" customHeight="1">
      <c r="A289" s="1"/>
      <c r="C289" s="1"/>
      <c r="D289" s="1"/>
      <c r="E289" s="1"/>
      <c r="F289" s="1"/>
      <c r="G289" s="1"/>
      <c r="H289" s="1"/>
      <c r="J289" s="1"/>
      <c r="K289" s="1"/>
      <c r="L289" s="1"/>
      <c r="M289" s="1"/>
      <c r="N289" s="1"/>
      <c r="O289" s="1"/>
      <c r="P289" s="1"/>
    </row>
    <row r="290" spans="1:16" ht="15.75" customHeight="1">
      <c r="A290" s="1"/>
      <c r="C290" s="1"/>
      <c r="D290" s="1"/>
      <c r="E290" s="1"/>
      <c r="F290" s="1"/>
      <c r="G290" s="1"/>
      <c r="H290" s="1"/>
      <c r="J290" s="1"/>
      <c r="K290" s="1"/>
      <c r="L290" s="1"/>
      <c r="M290" s="1"/>
      <c r="N290" s="1"/>
      <c r="O290" s="1"/>
      <c r="P290" s="1"/>
    </row>
    <row r="291" spans="1:16" ht="15.75" customHeight="1">
      <c r="A291" s="1"/>
      <c r="C291" s="1"/>
      <c r="D291" s="1"/>
      <c r="E291" s="1"/>
      <c r="F291" s="1"/>
      <c r="G291" s="1"/>
      <c r="H291" s="1"/>
      <c r="J291" s="1"/>
      <c r="K291" s="1"/>
      <c r="L291" s="1"/>
      <c r="M291" s="1"/>
      <c r="N291" s="1"/>
      <c r="O291" s="1"/>
      <c r="P291" s="1"/>
    </row>
    <row r="292" spans="1:16" ht="15.75" customHeight="1">
      <c r="A292" s="1"/>
      <c r="C292" s="1"/>
      <c r="D292" s="1"/>
      <c r="E292" s="1"/>
      <c r="F292" s="1"/>
      <c r="G292" s="1"/>
      <c r="H292" s="1"/>
      <c r="J292" s="1"/>
      <c r="K292" s="1"/>
      <c r="L292" s="1"/>
      <c r="M292" s="1"/>
      <c r="N292" s="1"/>
      <c r="O292" s="1"/>
      <c r="P292" s="1"/>
    </row>
    <row r="293" spans="1:16" ht="15.75" customHeight="1">
      <c r="A293" s="1"/>
      <c r="C293" s="1"/>
      <c r="D293" s="1"/>
      <c r="E293" s="1"/>
      <c r="F293" s="1"/>
      <c r="G293" s="1"/>
      <c r="H293" s="1"/>
      <c r="J293" s="1"/>
      <c r="K293" s="1"/>
      <c r="L293" s="1"/>
      <c r="M293" s="1"/>
      <c r="N293" s="1"/>
      <c r="O293" s="1"/>
      <c r="P293" s="1"/>
    </row>
    <row r="294" spans="1:16" ht="15.75" customHeight="1">
      <c r="A294" s="1"/>
      <c r="C294" s="1"/>
      <c r="D294" s="1"/>
      <c r="E294" s="1"/>
      <c r="F294" s="1"/>
      <c r="G294" s="1"/>
      <c r="H294" s="1"/>
      <c r="J294" s="1"/>
      <c r="K294" s="1"/>
      <c r="L294" s="1"/>
      <c r="M294" s="1"/>
      <c r="N294" s="1"/>
      <c r="O294" s="1"/>
      <c r="P294" s="1"/>
    </row>
    <row r="295" spans="1:16" ht="15.75" customHeight="1">
      <c r="A295" s="1"/>
      <c r="C295" s="1"/>
      <c r="D295" s="1"/>
      <c r="E295" s="1"/>
      <c r="F295" s="1"/>
      <c r="G295" s="1"/>
      <c r="H295" s="1"/>
      <c r="J295" s="1"/>
      <c r="K295" s="1"/>
      <c r="L295" s="1"/>
      <c r="M295" s="1"/>
      <c r="N295" s="1"/>
      <c r="O295" s="1"/>
      <c r="P295" s="1"/>
    </row>
    <row r="296" spans="1:16" ht="15.75" customHeight="1">
      <c r="A296" s="1"/>
      <c r="C296" s="1"/>
      <c r="D296" s="1"/>
      <c r="E296" s="1"/>
      <c r="F296" s="1"/>
      <c r="G296" s="1"/>
      <c r="H296" s="1"/>
      <c r="J296" s="1"/>
      <c r="K296" s="1"/>
      <c r="L296" s="1"/>
      <c r="M296" s="1"/>
      <c r="N296" s="1"/>
      <c r="O296" s="1"/>
      <c r="P296" s="1"/>
    </row>
    <row r="297" spans="1:16" ht="15.75" customHeight="1">
      <c r="A297" s="1"/>
      <c r="C297" s="1"/>
      <c r="D297" s="1"/>
      <c r="E297" s="1"/>
      <c r="F297" s="1"/>
      <c r="G297" s="1"/>
      <c r="H297" s="1"/>
      <c r="J297" s="1"/>
      <c r="K297" s="1"/>
      <c r="L297" s="1"/>
      <c r="M297" s="1"/>
      <c r="N297" s="1"/>
      <c r="O297" s="1"/>
      <c r="P297" s="1"/>
    </row>
    <row r="298" spans="1:16" ht="15.75" customHeight="1">
      <c r="A298" s="1"/>
      <c r="C298" s="1"/>
      <c r="D298" s="1"/>
      <c r="E298" s="1"/>
      <c r="F298" s="1"/>
      <c r="G298" s="1"/>
      <c r="H298" s="1"/>
      <c r="J298" s="1"/>
      <c r="K298" s="1"/>
      <c r="L298" s="1"/>
      <c r="M298" s="1"/>
      <c r="N298" s="1"/>
      <c r="O298" s="1"/>
      <c r="P298" s="1"/>
    </row>
    <row r="299" spans="1:16" ht="15.75" customHeight="1">
      <c r="A299" s="1"/>
      <c r="C299" s="1"/>
      <c r="D299" s="1"/>
      <c r="E299" s="1"/>
      <c r="F299" s="1"/>
      <c r="G299" s="1"/>
      <c r="H299" s="1"/>
      <c r="J299" s="1"/>
      <c r="K299" s="1"/>
      <c r="L299" s="1"/>
      <c r="M299" s="1"/>
      <c r="N299" s="1"/>
      <c r="O299" s="1"/>
      <c r="P299" s="1"/>
    </row>
    <row r="300" spans="1:16" ht="15.75" customHeight="1">
      <c r="A300" s="1"/>
      <c r="C300" s="1"/>
      <c r="D300" s="1"/>
      <c r="E300" s="1"/>
      <c r="F300" s="1"/>
      <c r="G300" s="1"/>
      <c r="H300" s="1"/>
      <c r="J300" s="1"/>
      <c r="K300" s="1"/>
      <c r="L300" s="1"/>
      <c r="M300" s="1"/>
      <c r="N300" s="1"/>
      <c r="O300" s="1"/>
      <c r="P300" s="1"/>
    </row>
    <row r="301" spans="1:16" ht="15.75" customHeight="1">
      <c r="A301" s="1"/>
      <c r="C301" s="1"/>
      <c r="D301" s="1"/>
      <c r="E301" s="1"/>
      <c r="F301" s="1"/>
      <c r="G301" s="1"/>
      <c r="H301" s="1"/>
      <c r="J301" s="1"/>
      <c r="K301" s="1"/>
      <c r="L301" s="1"/>
      <c r="M301" s="1"/>
      <c r="N301" s="1"/>
      <c r="O301" s="1"/>
      <c r="P301" s="1"/>
    </row>
    <row r="302" spans="1:16" ht="15.75" customHeight="1">
      <c r="A302" s="1"/>
      <c r="C302" s="1"/>
      <c r="D302" s="1"/>
      <c r="E302" s="1"/>
      <c r="F302" s="1"/>
      <c r="G302" s="1"/>
      <c r="H302" s="1"/>
      <c r="J302" s="1"/>
      <c r="K302" s="1"/>
      <c r="L302" s="1"/>
      <c r="M302" s="1"/>
      <c r="N302" s="1"/>
      <c r="O302" s="1"/>
      <c r="P302" s="1"/>
    </row>
    <row r="303" spans="1:16" ht="15.75" customHeight="1">
      <c r="A303" s="1"/>
      <c r="C303" s="1"/>
      <c r="D303" s="1"/>
      <c r="E303" s="1"/>
      <c r="F303" s="1"/>
      <c r="G303" s="1"/>
      <c r="H303" s="1"/>
      <c r="J303" s="1"/>
      <c r="K303" s="1"/>
      <c r="L303" s="1"/>
      <c r="M303" s="1"/>
      <c r="N303" s="1"/>
      <c r="O303" s="1"/>
      <c r="P303" s="1"/>
    </row>
    <row r="304" spans="1:16" ht="15.75" customHeight="1">
      <c r="A304" s="1"/>
      <c r="C304" s="1"/>
      <c r="D304" s="1"/>
      <c r="E304" s="1"/>
      <c r="F304" s="1"/>
      <c r="G304" s="1"/>
      <c r="H304" s="1"/>
      <c r="J304" s="1"/>
      <c r="K304" s="1"/>
      <c r="L304" s="1"/>
      <c r="M304" s="1"/>
      <c r="N304" s="1"/>
      <c r="O304" s="1"/>
      <c r="P304" s="1"/>
    </row>
    <row r="305" spans="1:16" ht="15.75" customHeight="1">
      <c r="A305" s="1"/>
      <c r="C305" s="1"/>
      <c r="D305" s="1"/>
      <c r="E305" s="1"/>
      <c r="F305" s="1"/>
      <c r="G305" s="1"/>
      <c r="H305" s="1"/>
      <c r="J305" s="1"/>
      <c r="K305" s="1"/>
      <c r="L305" s="1"/>
      <c r="M305" s="1"/>
      <c r="N305" s="1"/>
      <c r="O305" s="1"/>
      <c r="P305" s="1"/>
    </row>
    <row r="306" spans="1:16" ht="15.75" customHeight="1">
      <c r="A306" s="1"/>
      <c r="C306" s="1"/>
      <c r="D306" s="1"/>
      <c r="E306" s="1"/>
      <c r="F306" s="1"/>
      <c r="G306" s="1"/>
      <c r="H306" s="1"/>
      <c r="J306" s="1"/>
      <c r="K306" s="1"/>
      <c r="L306" s="1"/>
      <c r="M306" s="1"/>
      <c r="N306" s="1"/>
      <c r="O306" s="1"/>
      <c r="P306" s="1"/>
    </row>
    <row r="307" spans="1:16" ht="15.75" customHeight="1">
      <c r="A307" s="1"/>
      <c r="C307" s="1"/>
      <c r="D307" s="1"/>
      <c r="E307" s="1"/>
      <c r="F307" s="1"/>
      <c r="G307" s="1"/>
      <c r="H307" s="1"/>
      <c r="J307" s="1"/>
      <c r="K307" s="1"/>
      <c r="L307" s="1"/>
      <c r="M307" s="1"/>
      <c r="N307" s="1"/>
      <c r="O307" s="1"/>
      <c r="P307" s="1"/>
    </row>
    <row r="308" spans="1:16" ht="15.75" customHeight="1">
      <c r="A308" s="1"/>
      <c r="C308" s="1"/>
      <c r="D308" s="1"/>
      <c r="E308" s="1"/>
      <c r="F308" s="1"/>
      <c r="G308" s="1"/>
      <c r="H308" s="1"/>
      <c r="J308" s="1"/>
      <c r="K308" s="1"/>
      <c r="L308" s="1"/>
      <c r="M308" s="1"/>
      <c r="N308" s="1"/>
      <c r="O308" s="1"/>
      <c r="P308" s="1"/>
    </row>
    <row r="309" spans="1:16" ht="15.75" customHeight="1">
      <c r="A309" s="1"/>
      <c r="C309" s="1"/>
      <c r="D309" s="1"/>
      <c r="E309" s="1"/>
      <c r="F309" s="1"/>
      <c r="G309" s="1"/>
      <c r="H309" s="1"/>
      <c r="J309" s="1"/>
      <c r="K309" s="1"/>
      <c r="L309" s="1"/>
      <c r="M309" s="1"/>
      <c r="N309" s="1"/>
      <c r="O309" s="1"/>
      <c r="P309" s="1"/>
    </row>
    <row r="310" spans="1:16" ht="15.75" customHeight="1">
      <c r="A310" s="1"/>
      <c r="C310" s="1"/>
      <c r="D310" s="1"/>
      <c r="E310" s="1"/>
      <c r="F310" s="1"/>
      <c r="G310" s="1"/>
      <c r="H310" s="1"/>
      <c r="J310" s="1"/>
      <c r="K310" s="1"/>
      <c r="L310" s="1"/>
      <c r="M310" s="1"/>
      <c r="N310" s="1"/>
      <c r="O310" s="1"/>
      <c r="P310" s="1"/>
    </row>
    <row r="311" spans="1:16" ht="15.75" customHeight="1">
      <c r="A311" s="1"/>
      <c r="C311" s="1"/>
      <c r="D311" s="1"/>
      <c r="E311" s="1"/>
      <c r="F311" s="1"/>
      <c r="G311" s="1"/>
      <c r="H311" s="1"/>
      <c r="J311" s="1"/>
      <c r="K311" s="1"/>
      <c r="L311" s="1"/>
      <c r="M311" s="1"/>
      <c r="N311" s="1"/>
      <c r="O311" s="1"/>
      <c r="P311" s="1"/>
    </row>
    <row r="312" spans="1:16" ht="15.75" customHeight="1">
      <c r="A312" s="1"/>
      <c r="C312" s="1"/>
      <c r="D312" s="1"/>
      <c r="E312" s="1"/>
      <c r="F312" s="1"/>
      <c r="G312" s="1"/>
      <c r="H312" s="1"/>
      <c r="J312" s="1"/>
      <c r="K312" s="1"/>
      <c r="L312" s="1"/>
      <c r="M312" s="1"/>
      <c r="N312" s="1"/>
      <c r="O312" s="1"/>
      <c r="P312" s="1"/>
    </row>
    <row r="313" spans="1:16" ht="15.75" customHeight="1">
      <c r="A313" s="1"/>
      <c r="C313" s="1"/>
      <c r="D313" s="1"/>
      <c r="E313" s="1"/>
      <c r="F313" s="1"/>
      <c r="G313" s="1"/>
      <c r="H313" s="1"/>
      <c r="J313" s="1"/>
      <c r="K313" s="1"/>
      <c r="L313" s="1"/>
      <c r="M313" s="1"/>
      <c r="N313" s="1"/>
      <c r="O313" s="1"/>
      <c r="P313" s="1"/>
    </row>
    <row r="314" spans="1:16" ht="15.75" customHeight="1">
      <c r="A314" s="1"/>
      <c r="C314" s="1"/>
      <c r="D314" s="1"/>
      <c r="E314" s="1"/>
      <c r="F314" s="1"/>
      <c r="G314" s="1"/>
      <c r="H314" s="1"/>
      <c r="J314" s="1"/>
      <c r="K314" s="1"/>
      <c r="L314" s="1"/>
      <c r="M314" s="1"/>
      <c r="N314" s="1"/>
      <c r="O314" s="1"/>
      <c r="P314" s="1"/>
    </row>
    <row r="315" spans="1:16" ht="15.75" customHeight="1">
      <c r="A315" s="1"/>
      <c r="C315" s="1"/>
      <c r="D315" s="1"/>
      <c r="E315" s="1"/>
      <c r="F315" s="1"/>
      <c r="G315" s="1"/>
      <c r="H315" s="1"/>
      <c r="J315" s="1"/>
      <c r="K315" s="1"/>
      <c r="L315" s="1"/>
      <c r="M315" s="1"/>
      <c r="N315" s="1"/>
      <c r="O315" s="1"/>
      <c r="P315" s="1"/>
    </row>
    <row r="316" spans="1:16" ht="15.75" customHeight="1">
      <c r="A316" s="1"/>
      <c r="C316" s="1"/>
      <c r="D316" s="1"/>
      <c r="E316" s="1"/>
      <c r="F316" s="1"/>
      <c r="G316" s="1"/>
      <c r="H316" s="1"/>
      <c r="J316" s="1"/>
      <c r="K316" s="1"/>
      <c r="L316" s="1"/>
      <c r="M316" s="1"/>
      <c r="N316" s="1"/>
      <c r="O316" s="1"/>
      <c r="P316" s="1"/>
    </row>
    <row r="317" spans="1:16" ht="15.75" customHeight="1">
      <c r="A317" s="1"/>
      <c r="C317" s="1"/>
      <c r="D317" s="1"/>
      <c r="E317" s="1"/>
      <c r="F317" s="1"/>
      <c r="G317" s="1"/>
      <c r="H317" s="1"/>
      <c r="J317" s="1"/>
      <c r="K317" s="1"/>
      <c r="L317" s="1"/>
      <c r="M317" s="1"/>
      <c r="N317" s="1"/>
      <c r="O317" s="1"/>
      <c r="P317" s="1"/>
    </row>
    <row r="318" spans="1:16" ht="15.75" customHeight="1">
      <c r="A318" s="1"/>
      <c r="C318" s="1"/>
      <c r="D318" s="1"/>
      <c r="E318" s="1"/>
      <c r="F318" s="1"/>
      <c r="G318" s="1"/>
      <c r="H318" s="1"/>
      <c r="J318" s="1"/>
      <c r="K318" s="1"/>
      <c r="L318" s="1"/>
      <c r="M318" s="1"/>
      <c r="N318" s="1"/>
      <c r="O318" s="1"/>
      <c r="P318" s="1"/>
    </row>
    <row r="319" spans="1:16" ht="15.75" customHeight="1">
      <c r="A319" s="1"/>
      <c r="C319" s="1"/>
      <c r="D319" s="1"/>
      <c r="E319" s="1"/>
      <c r="F319" s="1"/>
      <c r="G319" s="1"/>
      <c r="H319" s="1"/>
      <c r="J319" s="1"/>
      <c r="K319" s="1"/>
      <c r="L319" s="1"/>
      <c r="M319" s="1"/>
      <c r="N319" s="1"/>
      <c r="O319" s="1"/>
      <c r="P319" s="1"/>
    </row>
    <row r="320" spans="1:16" ht="15.75" customHeight="1">
      <c r="A320" s="1"/>
      <c r="C320" s="1"/>
      <c r="D320" s="1"/>
      <c r="E320" s="1"/>
      <c r="F320" s="1"/>
      <c r="G320" s="1"/>
      <c r="H320" s="1"/>
      <c r="J320" s="1"/>
      <c r="K320" s="1"/>
      <c r="L320" s="1"/>
      <c r="M320" s="1"/>
      <c r="N320" s="1"/>
      <c r="O320" s="1"/>
      <c r="P320" s="1"/>
    </row>
    <row r="321" spans="1:16" ht="15.75" customHeight="1">
      <c r="A321" s="1"/>
      <c r="C321" s="1"/>
      <c r="D321" s="1"/>
      <c r="E321" s="1"/>
      <c r="F321" s="1"/>
      <c r="G321" s="1"/>
      <c r="H321" s="1"/>
      <c r="J321" s="1"/>
      <c r="K321" s="1"/>
      <c r="L321" s="1"/>
      <c r="M321" s="1"/>
      <c r="N321" s="1"/>
      <c r="O321" s="1"/>
      <c r="P321" s="1"/>
    </row>
    <row r="322" spans="1:16" ht="15.75" customHeight="1">
      <c r="A322" s="1"/>
      <c r="C322" s="1"/>
      <c r="D322" s="1"/>
      <c r="E322" s="1"/>
      <c r="F322" s="1"/>
      <c r="G322" s="1"/>
      <c r="H322" s="1"/>
      <c r="J322" s="1"/>
      <c r="K322" s="1"/>
      <c r="L322" s="1"/>
      <c r="M322" s="1"/>
      <c r="N322" s="1"/>
      <c r="O322" s="1"/>
      <c r="P322" s="1"/>
    </row>
    <row r="323" spans="1:16" ht="15.75" customHeight="1">
      <c r="A323" s="1"/>
      <c r="C323" s="1"/>
      <c r="D323" s="1"/>
      <c r="E323" s="1"/>
      <c r="F323" s="1"/>
      <c r="G323" s="1"/>
      <c r="H323" s="1"/>
      <c r="J323" s="1"/>
      <c r="K323" s="1"/>
      <c r="L323" s="1"/>
      <c r="M323" s="1"/>
      <c r="N323" s="1"/>
      <c r="O323" s="1"/>
      <c r="P323" s="1"/>
    </row>
    <row r="324" spans="1:16" ht="15.75" customHeight="1">
      <c r="A324" s="1"/>
      <c r="C324" s="1"/>
      <c r="D324" s="1"/>
      <c r="E324" s="1"/>
      <c r="F324" s="1"/>
      <c r="G324" s="1"/>
      <c r="H324" s="1"/>
      <c r="J324" s="1"/>
      <c r="K324" s="1"/>
      <c r="L324" s="1"/>
      <c r="M324" s="1"/>
      <c r="N324" s="1"/>
      <c r="O324" s="1"/>
      <c r="P324" s="1"/>
    </row>
    <row r="325" spans="1:16" ht="15.75" customHeight="1">
      <c r="A325" s="1"/>
      <c r="C325" s="1"/>
      <c r="D325" s="1"/>
      <c r="E325" s="1"/>
      <c r="F325" s="1"/>
      <c r="G325" s="1"/>
      <c r="H325" s="1"/>
      <c r="J325" s="1"/>
      <c r="K325" s="1"/>
      <c r="L325" s="1"/>
      <c r="M325" s="1"/>
      <c r="N325" s="1"/>
      <c r="O325" s="1"/>
      <c r="P325" s="1"/>
    </row>
    <row r="326" spans="1:16" ht="15.75" customHeight="1">
      <c r="A326" s="1"/>
      <c r="C326" s="1"/>
      <c r="D326" s="1"/>
      <c r="E326" s="1"/>
      <c r="F326" s="1"/>
      <c r="G326" s="1"/>
      <c r="H326" s="1"/>
      <c r="J326" s="1"/>
      <c r="K326" s="1"/>
      <c r="L326" s="1"/>
      <c r="M326" s="1"/>
      <c r="N326" s="1"/>
      <c r="O326" s="1"/>
      <c r="P326" s="1"/>
    </row>
    <row r="327" spans="1:16" ht="15.75" customHeight="1">
      <c r="A327" s="1"/>
      <c r="C327" s="1"/>
      <c r="D327" s="1"/>
      <c r="E327" s="1"/>
      <c r="F327" s="1"/>
      <c r="G327" s="1"/>
      <c r="H327" s="1"/>
      <c r="J327" s="1"/>
      <c r="K327" s="1"/>
      <c r="L327" s="1"/>
      <c r="M327" s="1"/>
      <c r="N327" s="1"/>
      <c r="O327" s="1"/>
      <c r="P327" s="1"/>
    </row>
    <row r="328" spans="1:16" ht="15.75" customHeight="1">
      <c r="A328" s="1"/>
      <c r="C328" s="1"/>
      <c r="D328" s="1"/>
      <c r="E328" s="1"/>
      <c r="F328" s="1"/>
      <c r="G328" s="1"/>
      <c r="H328" s="1"/>
      <c r="J328" s="1"/>
      <c r="K328" s="1"/>
      <c r="L328" s="1"/>
      <c r="M328" s="1"/>
      <c r="N328" s="1"/>
      <c r="O328" s="1"/>
      <c r="P328" s="1"/>
    </row>
    <row r="329" spans="1:16" ht="15.75" customHeight="1">
      <c r="A329" s="1"/>
      <c r="C329" s="1"/>
      <c r="D329" s="1"/>
      <c r="E329" s="1"/>
      <c r="F329" s="1"/>
      <c r="G329" s="1"/>
      <c r="H329" s="1"/>
      <c r="J329" s="1"/>
      <c r="K329" s="1"/>
      <c r="L329" s="1"/>
      <c r="M329" s="1"/>
      <c r="N329" s="1"/>
      <c r="O329" s="1"/>
      <c r="P329" s="1"/>
    </row>
    <row r="330" spans="1:16" ht="15.75" customHeight="1">
      <c r="A330" s="1"/>
      <c r="C330" s="1"/>
      <c r="D330" s="1"/>
      <c r="E330" s="1"/>
      <c r="F330" s="1"/>
      <c r="G330" s="1"/>
      <c r="H330" s="1"/>
      <c r="J330" s="1"/>
      <c r="K330" s="1"/>
      <c r="L330" s="1"/>
      <c r="M330" s="1"/>
      <c r="N330" s="1"/>
      <c r="O330" s="1"/>
      <c r="P330" s="1"/>
    </row>
    <row r="331" spans="1:16" ht="15.75" customHeight="1">
      <c r="A331" s="1"/>
      <c r="C331" s="1"/>
      <c r="D331" s="1"/>
      <c r="E331" s="1"/>
      <c r="F331" s="1"/>
      <c r="G331" s="1"/>
      <c r="H331" s="1"/>
      <c r="J331" s="1"/>
      <c r="K331" s="1"/>
      <c r="L331" s="1"/>
      <c r="M331" s="1"/>
      <c r="N331" s="1"/>
      <c r="O331" s="1"/>
      <c r="P331" s="1"/>
    </row>
    <row r="332" spans="1:16" ht="15.75" customHeight="1">
      <c r="A332" s="1"/>
      <c r="C332" s="1"/>
      <c r="D332" s="1"/>
      <c r="E332" s="1"/>
      <c r="F332" s="1"/>
      <c r="G332" s="1"/>
      <c r="H332" s="1"/>
      <c r="J332" s="1"/>
      <c r="K332" s="1"/>
      <c r="L332" s="1"/>
      <c r="M332" s="1"/>
      <c r="N332" s="1"/>
      <c r="O332" s="1"/>
      <c r="P332" s="1"/>
    </row>
    <row r="333" spans="1:16" ht="15.75" customHeight="1">
      <c r="A333" s="1"/>
      <c r="C333" s="1"/>
      <c r="D333" s="1"/>
      <c r="E333" s="1"/>
      <c r="F333" s="1"/>
      <c r="G333" s="1"/>
      <c r="H333" s="1"/>
      <c r="J333" s="1"/>
      <c r="K333" s="1"/>
      <c r="L333" s="1"/>
      <c r="M333" s="1"/>
      <c r="N333" s="1"/>
      <c r="O333" s="1"/>
      <c r="P333" s="1"/>
    </row>
    <row r="334" spans="1:16" ht="15.75" customHeight="1">
      <c r="A334" s="1"/>
      <c r="C334" s="1"/>
      <c r="D334" s="1"/>
      <c r="E334" s="1"/>
      <c r="F334" s="1"/>
      <c r="G334" s="1"/>
      <c r="H334" s="1"/>
      <c r="J334" s="1"/>
      <c r="K334" s="1"/>
      <c r="L334" s="1"/>
      <c r="M334" s="1"/>
      <c r="N334" s="1"/>
      <c r="O334" s="1"/>
      <c r="P334" s="1"/>
    </row>
    <row r="335" spans="1:16" ht="15.75" customHeight="1">
      <c r="A335" s="1"/>
      <c r="C335" s="1"/>
      <c r="D335" s="1"/>
      <c r="E335" s="1"/>
      <c r="F335" s="1"/>
      <c r="G335" s="1"/>
      <c r="H335" s="1"/>
      <c r="J335" s="1"/>
      <c r="K335" s="1"/>
      <c r="L335" s="1"/>
      <c r="M335" s="1"/>
      <c r="N335" s="1"/>
      <c r="O335" s="1"/>
      <c r="P335" s="1"/>
    </row>
    <row r="336" spans="1:16" ht="15.75" customHeight="1">
      <c r="A336" s="1"/>
      <c r="C336" s="1"/>
      <c r="D336" s="1"/>
      <c r="E336" s="1"/>
      <c r="F336" s="1"/>
      <c r="G336" s="1"/>
      <c r="H336" s="1"/>
      <c r="J336" s="1"/>
      <c r="K336" s="1"/>
      <c r="L336" s="1"/>
      <c r="M336" s="1"/>
      <c r="N336" s="1"/>
      <c r="O336" s="1"/>
      <c r="P336" s="1"/>
    </row>
    <row r="337" spans="1:16" ht="15.75" customHeight="1">
      <c r="A337" s="1"/>
      <c r="C337" s="1"/>
      <c r="D337" s="1"/>
      <c r="E337" s="1"/>
      <c r="F337" s="1"/>
      <c r="G337" s="1"/>
      <c r="H337" s="1"/>
      <c r="J337" s="1"/>
      <c r="K337" s="1"/>
      <c r="L337" s="1"/>
      <c r="M337" s="1"/>
      <c r="N337" s="1"/>
      <c r="O337" s="1"/>
      <c r="P337" s="1"/>
    </row>
    <row r="338" spans="1:16" ht="15.75" customHeight="1">
      <c r="A338" s="1"/>
      <c r="C338" s="1"/>
      <c r="D338" s="1"/>
      <c r="E338" s="1"/>
      <c r="F338" s="1"/>
      <c r="G338" s="1"/>
      <c r="H338" s="1"/>
      <c r="J338" s="1"/>
      <c r="K338" s="1"/>
      <c r="L338" s="1"/>
      <c r="M338" s="1"/>
      <c r="N338" s="1"/>
      <c r="O338" s="1"/>
      <c r="P338" s="1"/>
    </row>
    <row r="339" spans="1:16" ht="15.75" customHeight="1">
      <c r="A339" s="1"/>
      <c r="C339" s="1"/>
      <c r="D339" s="1"/>
      <c r="E339" s="1"/>
      <c r="F339" s="1"/>
      <c r="G339" s="1"/>
      <c r="H339" s="1"/>
      <c r="J339" s="1"/>
      <c r="K339" s="1"/>
      <c r="L339" s="1"/>
      <c r="M339" s="1"/>
      <c r="N339" s="1"/>
      <c r="O339" s="1"/>
      <c r="P339" s="1"/>
    </row>
    <row r="340" spans="1:16" ht="15.75" customHeight="1">
      <c r="A340" s="1"/>
      <c r="C340" s="1"/>
      <c r="D340" s="1"/>
      <c r="E340" s="1"/>
      <c r="F340" s="1"/>
      <c r="G340" s="1"/>
      <c r="H340" s="1"/>
      <c r="J340" s="1"/>
      <c r="K340" s="1"/>
      <c r="L340" s="1"/>
      <c r="M340" s="1"/>
      <c r="N340" s="1"/>
      <c r="O340" s="1"/>
      <c r="P340" s="1"/>
    </row>
    <row r="341" spans="1:16" ht="15.75" customHeight="1">
      <c r="A341" s="1"/>
      <c r="C341" s="1"/>
      <c r="D341" s="1"/>
      <c r="E341" s="1"/>
      <c r="F341" s="1"/>
      <c r="G341" s="1"/>
      <c r="H341" s="1"/>
      <c r="J341" s="1"/>
      <c r="K341" s="1"/>
      <c r="L341" s="1"/>
      <c r="M341" s="1"/>
      <c r="N341" s="1"/>
      <c r="O341" s="1"/>
      <c r="P341" s="1"/>
    </row>
    <row r="342" spans="1:16" ht="15.75" customHeight="1">
      <c r="A342" s="1"/>
      <c r="C342" s="1"/>
      <c r="D342" s="1"/>
      <c r="E342" s="1"/>
      <c r="F342" s="1"/>
      <c r="G342" s="1"/>
      <c r="H342" s="1"/>
      <c r="J342" s="1"/>
      <c r="K342" s="1"/>
      <c r="L342" s="1"/>
      <c r="M342" s="1"/>
      <c r="N342" s="1"/>
      <c r="O342" s="1"/>
      <c r="P342" s="1"/>
    </row>
    <row r="343" spans="1:16" ht="15.75" customHeight="1">
      <c r="A343" s="1"/>
      <c r="C343" s="1"/>
      <c r="D343" s="1"/>
      <c r="E343" s="1"/>
      <c r="F343" s="1"/>
      <c r="G343" s="1"/>
      <c r="H343" s="1"/>
      <c r="J343" s="1"/>
      <c r="K343" s="1"/>
      <c r="L343" s="1"/>
      <c r="M343" s="1"/>
      <c r="N343" s="1"/>
      <c r="O343" s="1"/>
      <c r="P343" s="1"/>
    </row>
    <row r="344" spans="1:16" ht="15.75" customHeight="1">
      <c r="A344" s="1"/>
      <c r="C344" s="1"/>
      <c r="D344" s="1"/>
      <c r="E344" s="1"/>
      <c r="F344" s="1"/>
      <c r="G344" s="1"/>
      <c r="H344" s="1"/>
      <c r="J344" s="1"/>
      <c r="K344" s="1"/>
      <c r="L344" s="1"/>
      <c r="M344" s="1"/>
      <c r="N344" s="1"/>
      <c r="O344" s="1"/>
      <c r="P344" s="1"/>
    </row>
    <row r="345" spans="1:16" ht="15.75" customHeight="1">
      <c r="A345" s="1"/>
      <c r="C345" s="1"/>
      <c r="D345" s="1"/>
      <c r="E345" s="1"/>
      <c r="F345" s="1"/>
      <c r="G345" s="1"/>
      <c r="H345" s="1"/>
      <c r="J345" s="1"/>
      <c r="K345" s="1"/>
      <c r="L345" s="1"/>
      <c r="M345" s="1"/>
      <c r="N345" s="1"/>
      <c r="O345" s="1"/>
      <c r="P345" s="1"/>
    </row>
    <row r="346" spans="1:16" ht="15.75" customHeight="1">
      <c r="A346" s="1"/>
      <c r="C346" s="1"/>
      <c r="D346" s="1"/>
      <c r="E346" s="1"/>
      <c r="F346" s="1"/>
      <c r="G346" s="1"/>
      <c r="H346" s="1"/>
      <c r="J346" s="1"/>
      <c r="K346" s="1"/>
      <c r="L346" s="1"/>
      <c r="M346" s="1"/>
      <c r="N346" s="1"/>
      <c r="O346" s="1"/>
      <c r="P346" s="1"/>
    </row>
    <row r="347" spans="1:16" ht="15.75" customHeight="1">
      <c r="A347" s="1"/>
      <c r="C347" s="1"/>
      <c r="D347" s="1"/>
      <c r="E347" s="1"/>
      <c r="F347" s="1"/>
      <c r="G347" s="1"/>
      <c r="H347" s="1"/>
      <c r="J347" s="1"/>
      <c r="K347" s="1"/>
      <c r="L347" s="1"/>
      <c r="M347" s="1"/>
      <c r="N347" s="1"/>
      <c r="O347" s="1"/>
      <c r="P347" s="1"/>
    </row>
    <row r="348" spans="1:16" ht="15.75" customHeight="1">
      <c r="A348" s="1"/>
      <c r="C348" s="1"/>
      <c r="D348" s="1"/>
      <c r="E348" s="1"/>
      <c r="F348" s="1"/>
      <c r="G348" s="1"/>
      <c r="H348" s="1"/>
      <c r="J348" s="1"/>
      <c r="K348" s="1"/>
      <c r="L348" s="1"/>
      <c r="M348" s="1"/>
      <c r="N348" s="1"/>
      <c r="O348" s="1"/>
      <c r="P348" s="1"/>
    </row>
    <row r="349" spans="1:16" ht="15.75" customHeight="1">
      <c r="A349" s="1"/>
      <c r="C349" s="1"/>
      <c r="D349" s="1"/>
      <c r="E349" s="1"/>
      <c r="F349" s="1"/>
      <c r="G349" s="1"/>
      <c r="H349" s="1"/>
      <c r="J349" s="1"/>
      <c r="K349" s="1"/>
      <c r="L349" s="1"/>
      <c r="M349" s="1"/>
      <c r="N349" s="1"/>
      <c r="O349" s="1"/>
      <c r="P349" s="1"/>
    </row>
    <row r="350" spans="1:16" ht="15.75" customHeight="1">
      <c r="A350" s="1"/>
      <c r="C350" s="1"/>
      <c r="D350" s="1"/>
      <c r="E350" s="1"/>
      <c r="F350" s="1"/>
      <c r="G350" s="1"/>
      <c r="H350" s="1"/>
      <c r="J350" s="1"/>
      <c r="K350" s="1"/>
      <c r="L350" s="1"/>
      <c r="M350" s="1"/>
      <c r="N350" s="1"/>
      <c r="O350" s="1"/>
      <c r="P350" s="1"/>
    </row>
    <row r="351" spans="1:16" ht="15.75" customHeight="1">
      <c r="A351" s="1"/>
      <c r="C351" s="1"/>
      <c r="D351" s="1"/>
      <c r="E351" s="1"/>
      <c r="F351" s="1"/>
      <c r="G351" s="1"/>
      <c r="H351" s="1"/>
      <c r="J351" s="1"/>
      <c r="K351" s="1"/>
      <c r="L351" s="1"/>
      <c r="M351" s="1"/>
      <c r="N351" s="1"/>
      <c r="O351" s="1"/>
      <c r="P351" s="1"/>
    </row>
    <row r="352" spans="1:16" ht="15.75" customHeight="1">
      <c r="A352" s="1"/>
      <c r="C352" s="1"/>
      <c r="D352" s="1"/>
      <c r="E352" s="1"/>
      <c r="F352" s="1"/>
      <c r="G352" s="1"/>
      <c r="H352" s="1"/>
      <c r="J352" s="1"/>
      <c r="K352" s="1"/>
      <c r="L352" s="1"/>
      <c r="M352" s="1"/>
      <c r="N352" s="1"/>
      <c r="O352" s="1"/>
      <c r="P352" s="1"/>
    </row>
    <row r="353" spans="1:16" ht="15.75" customHeight="1">
      <c r="A353" s="1"/>
      <c r="C353" s="1"/>
      <c r="D353" s="1"/>
      <c r="E353" s="1"/>
      <c r="F353" s="1"/>
      <c r="G353" s="1"/>
      <c r="H353" s="1"/>
      <c r="J353" s="1"/>
      <c r="K353" s="1"/>
      <c r="L353" s="1"/>
      <c r="M353" s="1"/>
      <c r="N353" s="1"/>
      <c r="O353" s="1"/>
      <c r="P353" s="1"/>
    </row>
    <row r="354" spans="1:16" ht="15.75" customHeight="1">
      <c r="A354" s="1"/>
      <c r="C354" s="1"/>
      <c r="D354" s="1"/>
      <c r="E354" s="1"/>
      <c r="F354" s="1"/>
      <c r="G354" s="1"/>
      <c r="H354" s="1"/>
      <c r="J354" s="1"/>
      <c r="K354" s="1"/>
      <c r="L354" s="1"/>
      <c r="M354" s="1"/>
      <c r="N354" s="1"/>
      <c r="O354" s="1"/>
      <c r="P354" s="1"/>
    </row>
    <row r="355" spans="1:16" ht="15.75" customHeight="1">
      <c r="A355" s="1"/>
      <c r="C355" s="1"/>
      <c r="D355" s="1"/>
      <c r="E355" s="1"/>
      <c r="F355" s="1"/>
      <c r="G355" s="1"/>
      <c r="H355" s="1"/>
      <c r="J355" s="1"/>
      <c r="K355" s="1"/>
      <c r="L355" s="1"/>
      <c r="M355" s="1"/>
      <c r="N355" s="1"/>
      <c r="O355" s="1"/>
      <c r="P355" s="1"/>
    </row>
    <row r="356" spans="1:16" ht="15.75" customHeight="1">
      <c r="A356" s="1"/>
      <c r="C356" s="1"/>
      <c r="D356" s="1"/>
      <c r="E356" s="1"/>
      <c r="F356" s="1"/>
      <c r="G356" s="1"/>
      <c r="H356" s="1"/>
      <c r="J356" s="1"/>
      <c r="K356" s="1"/>
      <c r="L356" s="1"/>
      <c r="M356" s="1"/>
      <c r="N356" s="1"/>
      <c r="O356" s="1"/>
      <c r="P356" s="1"/>
    </row>
    <row r="357" spans="1:16" ht="15.75" customHeight="1">
      <c r="A357" s="1"/>
      <c r="C357" s="1"/>
      <c r="D357" s="1"/>
      <c r="E357" s="1"/>
      <c r="F357" s="1"/>
      <c r="G357" s="1"/>
      <c r="H357" s="1"/>
      <c r="J357" s="1"/>
      <c r="K357" s="1"/>
      <c r="L357" s="1"/>
      <c r="M357" s="1"/>
      <c r="N357" s="1"/>
      <c r="O357" s="1"/>
      <c r="P357" s="1"/>
    </row>
    <row r="358" spans="1:16" ht="15.75" customHeight="1">
      <c r="A358" s="1"/>
      <c r="C358" s="1"/>
      <c r="D358" s="1"/>
      <c r="E358" s="1"/>
      <c r="F358" s="1"/>
      <c r="G358" s="1"/>
      <c r="H358" s="1"/>
      <c r="J358" s="1"/>
      <c r="K358" s="1"/>
      <c r="L358" s="1"/>
      <c r="M358" s="1"/>
      <c r="N358" s="1"/>
      <c r="O358" s="1"/>
      <c r="P358" s="1"/>
    </row>
    <row r="359" spans="1:16" ht="15.75" customHeight="1">
      <c r="A359" s="1"/>
      <c r="C359" s="1"/>
      <c r="D359" s="1"/>
      <c r="E359" s="1"/>
      <c r="F359" s="1"/>
      <c r="G359" s="1"/>
      <c r="H359" s="1"/>
      <c r="J359" s="1"/>
      <c r="K359" s="1"/>
      <c r="L359" s="1"/>
      <c r="M359" s="1"/>
      <c r="N359" s="1"/>
      <c r="O359" s="1"/>
      <c r="P359" s="1"/>
    </row>
    <row r="360" spans="1:16" ht="15.75" customHeight="1">
      <c r="A360" s="1"/>
      <c r="C360" s="1"/>
      <c r="D360" s="1"/>
      <c r="E360" s="1"/>
      <c r="F360" s="1"/>
      <c r="G360" s="1"/>
      <c r="H360" s="1"/>
      <c r="J360" s="1"/>
      <c r="K360" s="1"/>
      <c r="L360" s="1"/>
      <c r="M360" s="1"/>
      <c r="N360" s="1"/>
      <c r="O360" s="1"/>
      <c r="P360" s="1"/>
    </row>
    <row r="361" spans="1:16" ht="15.75" customHeight="1">
      <c r="A361" s="1"/>
      <c r="C361" s="1"/>
      <c r="D361" s="1"/>
      <c r="E361" s="1"/>
      <c r="F361" s="1"/>
      <c r="G361" s="1"/>
      <c r="H361" s="1"/>
      <c r="J361" s="1"/>
      <c r="K361" s="1"/>
      <c r="L361" s="1"/>
      <c r="M361" s="1"/>
      <c r="N361" s="1"/>
      <c r="O361" s="1"/>
      <c r="P361" s="1"/>
    </row>
    <row r="362" spans="1:16" ht="15.75" customHeight="1">
      <c r="A362" s="1"/>
      <c r="C362" s="1"/>
      <c r="D362" s="1"/>
      <c r="E362" s="1"/>
      <c r="F362" s="1"/>
      <c r="G362" s="1"/>
      <c r="H362" s="1"/>
      <c r="J362" s="1"/>
      <c r="K362" s="1"/>
      <c r="L362" s="1"/>
      <c r="M362" s="1"/>
      <c r="N362" s="1"/>
      <c r="O362" s="1"/>
      <c r="P362" s="1"/>
    </row>
    <row r="363" spans="1:16" ht="15.75" customHeight="1">
      <c r="A363" s="1"/>
      <c r="C363" s="1"/>
      <c r="D363" s="1"/>
      <c r="E363" s="1"/>
      <c r="F363" s="1"/>
      <c r="G363" s="1"/>
      <c r="H363" s="1"/>
      <c r="J363" s="1"/>
      <c r="K363" s="1"/>
      <c r="L363" s="1"/>
      <c r="M363" s="1"/>
      <c r="N363" s="1"/>
      <c r="O363" s="1"/>
      <c r="P363" s="1"/>
    </row>
    <row r="364" spans="1:16" ht="15.75" customHeight="1">
      <c r="A364" s="1"/>
      <c r="C364" s="1"/>
      <c r="D364" s="1"/>
      <c r="E364" s="1"/>
      <c r="F364" s="1"/>
      <c r="G364" s="1"/>
      <c r="H364" s="1"/>
      <c r="J364" s="1"/>
      <c r="K364" s="1"/>
      <c r="L364" s="1"/>
      <c r="M364" s="1"/>
      <c r="N364" s="1"/>
      <c r="O364" s="1"/>
      <c r="P364" s="1"/>
    </row>
    <row r="365" spans="1:16" ht="15.75" customHeight="1">
      <c r="A365" s="1"/>
      <c r="C365" s="1"/>
      <c r="D365" s="1"/>
      <c r="E365" s="1"/>
      <c r="F365" s="1"/>
      <c r="G365" s="1"/>
      <c r="H365" s="1"/>
      <c r="J365" s="1"/>
      <c r="K365" s="1"/>
      <c r="L365" s="1"/>
      <c r="M365" s="1"/>
      <c r="N365" s="1"/>
      <c r="O365" s="1"/>
      <c r="P365" s="1"/>
    </row>
    <row r="366" spans="1:16" ht="15.75" customHeight="1">
      <c r="A366" s="1"/>
      <c r="C366" s="1"/>
      <c r="D366" s="1"/>
      <c r="E366" s="1"/>
      <c r="F366" s="1"/>
      <c r="G366" s="1"/>
      <c r="H366" s="1"/>
      <c r="J366" s="1"/>
      <c r="K366" s="1"/>
      <c r="L366" s="1"/>
      <c r="M366" s="1"/>
      <c r="N366" s="1"/>
      <c r="O366" s="1"/>
      <c r="P366" s="1"/>
    </row>
    <row r="367" spans="1:16" ht="15.75" customHeight="1">
      <c r="A367" s="1"/>
      <c r="C367" s="1"/>
      <c r="D367" s="1"/>
      <c r="E367" s="1"/>
      <c r="F367" s="1"/>
      <c r="G367" s="1"/>
      <c r="H367" s="1"/>
      <c r="J367" s="1"/>
      <c r="K367" s="1"/>
      <c r="L367" s="1"/>
      <c r="M367" s="1"/>
      <c r="N367" s="1"/>
      <c r="O367" s="1"/>
      <c r="P367" s="1"/>
    </row>
    <row r="368" spans="1:16" ht="15.75" customHeight="1">
      <c r="A368" s="1"/>
      <c r="C368" s="1"/>
      <c r="D368" s="1"/>
      <c r="E368" s="1"/>
      <c r="F368" s="1"/>
      <c r="G368" s="1"/>
      <c r="H368" s="1"/>
      <c r="J368" s="1"/>
      <c r="K368" s="1"/>
      <c r="L368" s="1"/>
      <c r="M368" s="1"/>
      <c r="N368" s="1"/>
      <c r="O368" s="1"/>
      <c r="P368" s="1"/>
    </row>
    <row r="369" spans="1:16" ht="15.75" customHeight="1">
      <c r="A369" s="1"/>
      <c r="C369" s="1"/>
      <c r="D369" s="1"/>
      <c r="E369" s="1"/>
      <c r="F369" s="1"/>
      <c r="G369" s="1"/>
      <c r="H369" s="1"/>
      <c r="J369" s="1"/>
      <c r="K369" s="1"/>
      <c r="L369" s="1"/>
      <c r="M369" s="1"/>
      <c r="N369" s="1"/>
      <c r="O369" s="1"/>
      <c r="P369" s="1"/>
    </row>
    <row r="370" spans="1:16" ht="15.75" customHeight="1">
      <c r="A370" s="1"/>
      <c r="C370" s="1"/>
      <c r="D370" s="1"/>
      <c r="E370" s="1"/>
      <c r="F370" s="1"/>
      <c r="G370" s="1"/>
      <c r="H370" s="1"/>
      <c r="J370" s="1"/>
      <c r="K370" s="1"/>
      <c r="L370" s="1"/>
      <c r="M370" s="1"/>
      <c r="N370" s="1"/>
      <c r="O370" s="1"/>
      <c r="P370" s="1"/>
    </row>
    <row r="371" spans="1:16" ht="15.75" customHeight="1">
      <c r="A371" s="1"/>
      <c r="C371" s="1"/>
      <c r="D371" s="1"/>
      <c r="E371" s="1"/>
      <c r="F371" s="1"/>
      <c r="G371" s="1"/>
      <c r="H371" s="1"/>
      <c r="J371" s="1"/>
      <c r="K371" s="1"/>
      <c r="L371" s="1"/>
      <c r="M371" s="1"/>
      <c r="N371" s="1"/>
      <c r="O371" s="1"/>
      <c r="P371" s="1"/>
    </row>
    <row r="372" spans="1:16" ht="15.75" customHeight="1">
      <c r="A372" s="1"/>
      <c r="C372" s="1"/>
      <c r="D372" s="1"/>
      <c r="E372" s="1"/>
      <c r="F372" s="1"/>
      <c r="G372" s="1"/>
      <c r="H372" s="1"/>
      <c r="J372" s="1"/>
      <c r="K372" s="1"/>
      <c r="L372" s="1"/>
      <c r="M372" s="1"/>
      <c r="N372" s="1"/>
      <c r="O372" s="1"/>
      <c r="P372" s="1"/>
    </row>
    <row r="373" spans="1:16" ht="15.75" customHeight="1">
      <c r="A373" s="1"/>
      <c r="C373" s="1"/>
      <c r="D373" s="1"/>
      <c r="E373" s="1"/>
      <c r="F373" s="1"/>
      <c r="G373" s="1"/>
      <c r="H373" s="1"/>
      <c r="J373" s="1"/>
      <c r="K373" s="1"/>
      <c r="L373" s="1"/>
      <c r="M373" s="1"/>
      <c r="N373" s="1"/>
      <c r="O373" s="1"/>
      <c r="P373" s="1"/>
    </row>
    <row r="374" spans="1:16" ht="15.75" customHeight="1">
      <c r="A374" s="1"/>
      <c r="C374" s="1"/>
      <c r="D374" s="1"/>
      <c r="E374" s="1"/>
      <c r="F374" s="1"/>
      <c r="G374" s="1"/>
      <c r="H374" s="1"/>
      <c r="J374" s="1"/>
      <c r="K374" s="1"/>
      <c r="L374" s="1"/>
      <c r="M374" s="1"/>
      <c r="N374" s="1"/>
      <c r="O374" s="1"/>
      <c r="P374" s="1"/>
    </row>
    <row r="375" spans="1:16" ht="15.75" customHeight="1">
      <c r="A375" s="1"/>
      <c r="C375" s="1"/>
      <c r="D375" s="1"/>
      <c r="E375" s="1"/>
      <c r="F375" s="1"/>
      <c r="G375" s="1"/>
      <c r="H375" s="1"/>
      <c r="J375" s="1"/>
      <c r="K375" s="1"/>
      <c r="L375" s="1"/>
      <c r="M375" s="1"/>
      <c r="N375" s="1"/>
      <c r="O375" s="1"/>
      <c r="P375" s="1"/>
    </row>
    <row r="376" spans="1:16" ht="15.75" customHeight="1">
      <c r="A376" s="1"/>
      <c r="C376" s="1"/>
      <c r="D376" s="1"/>
      <c r="E376" s="1"/>
      <c r="F376" s="1"/>
      <c r="G376" s="1"/>
      <c r="H376" s="1"/>
      <c r="J376" s="1"/>
      <c r="K376" s="1"/>
      <c r="L376" s="1"/>
      <c r="M376" s="1"/>
      <c r="N376" s="1"/>
      <c r="O376" s="1"/>
      <c r="P376" s="1"/>
    </row>
    <row r="377" spans="1:16" ht="15.75" customHeight="1">
      <c r="A377" s="1"/>
      <c r="C377" s="1"/>
      <c r="D377" s="1"/>
      <c r="E377" s="1"/>
      <c r="F377" s="1"/>
      <c r="G377" s="1"/>
      <c r="H377" s="1"/>
      <c r="J377" s="1"/>
      <c r="K377" s="1"/>
      <c r="L377" s="1"/>
      <c r="M377" s="1"/>
      <c r="N377" s="1"/>
      <c r="O377" s="1"/>
      <c r="P377" s="1"/>
    </row>
    <row r="378" spans="1:16" ht="15.75" customHeight="1">
      <c r="A378" s="1"/>
      <c r="C378" s="1"/>
      <c r="D378" s="1"/>
      <c r="E378" s="1"/>
      <c r="F378" s="1"/>
      <c r="G378" s="1"/>
      <c r="H378" s="1"/>
      <c r="J378" s="1"/>
      <c r="K378" s="1"/>
      <c r="L378" s="1"/>
      <c r="M378" s="1"/>
      <c r="N378" s="1"/>
      <c r="O378" s="1"/>
      <c r="P378" s="1"/>
    </row>
    <row r="379" spans="1:16" ht="15.75" customHeight="1">
      <c r="A379" s="1"/>
      <c r="C379" s="1"/>
      <c r="D379" s="1"/>
      <c r="E379" s="1"/>
      <c r="F379" s="1"/>
      <c r="G379" s="1"/>
      <c r="H379" s="1"/>
      <c r="J379" s="1"/>
      <c r="K379" s="1"/>
      <c r="L379" s="1"/>
      <c r="M379" s="1"/>
      <c r="N379" s="1"/>
      <c r="O379" s="1"/>
      <c r="P379" s="1"/>
    </row>
    <row r="380" spans="1:16" ht="15.75" customHeight="1">
      <c r="A380" s="1"/>
      <c r="C380" s="1"/>
      <c r="D380" s="1"/>
      <c r="E380" s="1"/>
      <c r="F380" s="1"/>
      <c r="G380" s="1"/>
      <c r="H380" s="1"/>
      <c r="J380" s="1"/>
      <c r="K380" s="1"/>
      <c r="L380" s="1"/>
      <c r="M380" s="1"/>
      <c r="N380" s="1"/>
      <c r="O380" s="1"/>
      <c r="P380" s="1"/>
    </row>
    <row r="381" spans="1:16" ht="15.75" customHeight="1">
      <c r="A381" s="1"/>
      <c r="C381" s="1"/>
      <c r="D381" s="1"/>
      <c r="E381" s="1"/>
      <c r="F381" s="1"/>
      <c r="G381" s="1"/>
      <c r="H381" s="1"/>
      <c r="J381" s="1"/>
      <c r="K381" s="1"/>
      <c r="L381" s="1"/>
      <c r="M381" s="1"/>
      <c r="N381" s="1"/>
      <c r="O381" s="1"/>
      <c r="P381" s="1"/>
    </row>
    <row r="382" spans="1:16" ht="15.75" customHeight="1">
      <c r="A382" s="1"/>
      <c r="C382" s="1"/>
      <c r="D382" s="1"/>
      <c r="E382" s="1"/>
      <c r="F382" s="1"/>
      <c r="G382" s="1"/>
      <c r="H382" s="1"/>
      <c r="J382" s="1"/>
      <c r="K382" s="1"/>
      <c r="L382" s="1"/>
      <c r="M382" s="1"/>
      <c r="N382" s="1"/>
      <c r="O382" s="1"/>
      <c r="P382" s="1"/>
    </row>
    <row r="383" spans="1:16" ht="15.75" customHeight="1">
      <c r="A383" s="1"/>
      <c r="C383" s="1"/>
      <c r="D383" s="1"/>
      <c r="E383" s="1"/>
      <c r="F383" s="1"/>
      <c r="G383" s="1"/>
      <c r="H383" s="1"/>
      <c r="J383" s="1"/>
      <c r="K383" s="1"/>
      <c r="L383" s="1"/>
      <c r="M383" s="1"/>
      <c r="N383" s="1"/>
      <c r="O383" s="1"/>
      <c r="P383" s="1"/>
    </row>
    <row r="384" spans="1:16" ht="15.75" customHeight="1">
      <c r="A384" s="1"/>
      <c r="C384" s="1"/>
      <c r="D384" s="1"/>
      <c r="E384" s="1"/>
      <c r="F384" s="1"/>
      <c r="G384" s="1"/>
      <c r="H384" s="1"/>
      <c r="J384" s="1"/>
      <c r="K384" s="1"/>
      <c r="L384" s="1"/>
      <c r="M384" s="1"/>
      <c r="N384" s="1"/>
      <c r="O384" s="1"/>
      <c r="P384" s="1"/>
    </row>
    <row r="385" spans="1:16" ht="15.75" customHeight="1">
      <c r="A385" s="1"/>
      <c r="C385" s="1"/>
      <c r="D385" s="1"/>
      <c r="E385" s="1"/>
      <c r="F385" s="1"/>
      <c r="G385" s="1"/>
      <c r="H385" s="1"/>
      <c r="J385" s="1"/>
      <c r="K385" s="1"/>
      <c r="L385" s="1"/>
      <c r="M385" s="1"/>
      <c r="N385" s="1"/>
      <c r="O385" s="1"/>
      <c r="P385" s="1"/>
    </row>
    <row r="386" spans="1:16" ht="15.75" customHeight="1">
      <c r="A386" s="1"/>
      <c r="C386" s="1"/>
      <c r="D386" s="1"/>
      <c r="E386" s="1"/>
      <c r="F386" s="1"/>
      <c r="G386" s="1"/>
      <c r="H386" s="1"/>
      <c r="J386" s="1"/>
      <c r="K386" s="1"/>
      <c r="L386" s="1"/>
      <c r="M386" s="1"/>
      <c r="N386" s="1"/>
      <c r="O386" s="1"/>
      <c r="P386" s="1"/>
    </row>
    <row r="387" spans="1:16" ht="15.75" customHeight="1">
      <c r="A387" s="1"/>
      <c r="C387" s="1"/>
      <c r="D387" s="1"/>
      <c r="E387" s="1"/>
      <c r="F387" s="1"/>
      <c r="G387" s="1"/>
      <c r="H387" s="1"/>
      <c r="J387" s="1"/>
      <c r="K387" s="1"/>
      <c r="L387" s="1"/>
      <c r="M387" s="1"/>
      <c r="N387" s="1"/>
      <c r="O387" s="1"/>
      <c r="P387" s="1"/>
    </row>
    <row r="388" spans="1:16" ht="15.75" customHeight="1">
      <c r="A388" s="1"/>
      <c r="C388" s="1"/>
      <c r="D388" s="1"/>
      <c r="E388" s="1"/>
      <c r="F388" s="1"/>
      <c r="G388" s="1"/>
      <c r="H388" s="1"/>
      <c r="J388" s="1"/>
      <c r="K388" s="1"/>
      <c r="L388" s="1"/>
      <c r="M388" s="1"/>
      <c r="N388" s="1"/>
      <c r="O388" s="1"/>
      <c r="P388" s="1"/>
    </row>
    <row r="389" spans="1:16" ht="15.75" customHeight="1">
      <c r="A389" s="1"/>
      <c r="C389" s="1"/>
      <c r="D389" s="1"/>
      <c r="E389" s="1"/>
      <c r="F389" s="1"/>
      <c r="G389" s="1"/>
      <c r="H389" s="1"/>
      <c r="J389" s="1"/>
      <c r="K389" s="1"/>
      <c r="L389" s="1"/>
      <c r="M389" s="1"/>
      <c r="N389" s="1"/>
      <c r="O389" s="1"/>
      <c r="P389" s="1"/>
    </row>
    <row r="390" spans="1:16" ht="15.75" customHeight="1">
      <c r="A390" s="1"/>
      <c r="C390" s="1"/>
      <c r="D390" s="1"/>
      <c r="E390" s="1"/>
      <c r="F390" s="1"/>
      <c r="G390" s="1"/>
      <c r="H390" s="1"/>
      <c r="J390" s="1"/>
      <c r="K390" s="1"/>
      <c r="L390" s="1"/>
      <c r="M390" s="1"/>
      <c r="N390" s="1"/>
      <c r="O390" s="1"/>
      <c r="P390" s="1"/>
    </row>
    <row r="391" spans="1:16" ht="15.75" customHeight="1">
      <c r="A391" s="1"/>
      <c r="C391" s="1"/>
      <c r="D391" s="1"/>
      <c r="E391" s="1"/>
      <c r="F391" s="1"/>
      <c r="G391" s="1"/>
      <c r="H391" s="1"/>
      <c r="J391" s="1"/>
      <c r="K391" s="1"/>
      <c r="L391" s="1"/>
      <c r="M391" s="1"/>
      <c r="N391" s="1"/>
      <c r="O391" s="1"/>
      <c r="P391" s="1"/>
    </row>
    <row r="392" spans="1:16" ht="15.75" customHeight="1">
      <c r="A392" s="1"/>
      <c r="C392" s="1"/>
      <c r="D392" s="1"/>
      <c r="E392" s="1"/>
      <c r="F392" s="1"/>
      <c r="G392" s="1"/>
      <c r="H392" s="1"/>
      <c r="J392" s="1"/>
      <c r="K392" s="1"/>
      <c r="L392" s="1"/>
      <c r="M392" s="1"/>
      <c r="N392" s="1"/>
      <c r="O392" s="1"/>
      <c r="P392" s="1"/>
    </row>
    <row r="393" spans="1:16" ht="15.75" customHeight="1">
      <c r="A393" s="1"/>
      <c r="C393" s="1"/>
      <c r="D393" s="1"/>
      <c r="E393" s="1"/>
      <c r="F393" s="1"/>
      <c r="G393" s="1"/>
      <c r="H393" s="1"/>
      <c r="J393" s="1"/>
      <c r="K393" s="1"/>
      <c r="L393" s="1"/>
      <c r="M393" s="1"/>
      <c r="N393" s="1"/>
      <c r="O393" s="1"/>
      <c r="P393" s="1"/>
    </row>
    <row r="394" spans="1:16" ht="15.75" customHeight="1">
      <c r="A394" s="1"/>
      <c r="C394" s="1"/>
      <c r="D394" s="1"/>
      <c r="E394" s="1"/>
      <c r="F394" s="1"/>
      <c r="G394" s="1"/>
      <c r="H394" s="1"/>
      <c r="J394" s="1"/>
      <c r="K394" s="1"/>
      <c r="L394" s="1"/>
      <c r="M394" s="1"/>
      <c r="N394" s="1"/>
      <c r="O394" s="1"/>
      <c r="P394" s="1"/>
    </row>
    <row r="395" spans="1:16" ht="15.75" customHeight="1">
      <c r="A395" s="1"/>
      <c r="C395" s="1"/>
      <c r="D395" s="1"/>
      <c r="E395" s="1"/>
      <c r="F395" s="1"/>
      <c r="G395" s="1"/>
      <c r="H395" s="1"/>
      <c r="J395" s="1"/>
      <c r="K395" s="1"/>
      <c r="L395" s="1"/>
      <c r="M395" s="1"/>
      <c r="N395" s="1"/>
      <c r="O395" s="1"/>
      <c r="P395" s="1"/>
    </row>
    <row r="396" spans="1:16" ht="15.75" customHeight="1">
      <c r="A396" s="1"/>
      <c r="C396" s="1"/>
      <c r="D396" s="1"/>
      <c r="E396" s="1"/>
      <c r="F396" s="1"/>
      <c r="G396" s="1"/>
      <c r="H396" s="1"/>
      <c r="J396" s="1"/>
      <c r="K396" s="1"/>
      <c r="L396" s="1"/>
      <c r="M396" s="1"/>
      <c r="N396" s="1"/>
      <c r="O396" s="1"/>
      <c r="P396" s="1"/>
    </row>
    <row r="397" spans="1:16" ht="15.75" customHeight="1">
      <c r="A397" s="1"/>
      <c r="C397" s="1"/>
      <c r="D397" s="1"/>
      <c r="E397" s="1"/>
      <c r="F397" s="1"/>
      <c r="G397" s="1"/>
      <c r="H397" s="1"/>
      <c r="J397" s="1"/>
      <c r="K397" s="1"/>
      <c r="L397" s="1"/>
      <c r="M397" s="1"/>
      <c r="N397" s="1"/>
      <c r="O397" s="1"/>
      <c r="P397" s="1"/>
    </row>
    <row r="398" spans="1:16" ht="15.75" customHeight="1">
      <c r="A398" s="1"/>
      <c r="C398" s="1"/>
      <c r="D398" s="1"/>
      <c r="E398" s="1"/>
      <c r="F398" s="1"/>
      <c r="G398" s="1"/>
      <c r="H398" s="1"/>
      <c r="J398" s="1"/>
      <c r="K398" s="1"/>
      <c r="L398" s="1"/>
      <c r="M398" s="1"/>
      <c r="N398" s="1"/>
      <c r="O398" s="1"/>
      <c r="P398" s="1"/>
    </row>
    <row r="399" spans="1:16" ht="15.75" customHeight="1">
      <c r="A399" s="1"/>
      <c r="C399" s="1"/>
      <c r="D399" s="1"/>
      <c r="E399" s="1"/>
      <c r="F399" s="1"/>
      <c r="G399" s="1"/>
      <c r="H399" s="1"/>
      <c r="J399" s="1"/>
      <c r="K399" s="1"/>
      <c r="L399" s="1"/>
      <c r="M399" s="1"/>
      <c r="N399" s="1"/>
      <c r="O399" s="1"/>
      <c r="P399" s="1"/>
    </row>
    <row r="400" spans="1:16" ht="15.75" customHeight="1">
      <c r="A400" s="1"/>
      <c r="C400" s="1"/>
      <c r="D400" s="1"/>
      <c r="E400" s="1"/>
      <c r="F400" s="1"/>
      <c r="G400" s="1"/>
      <c r="H400" s="1"/>
      <c r="J400" s="1"/>
      <c r="K400" s="1"/>
      <c r="L400" s="1"/>
      <c r="M400" s="1"/>
      <c r="N400" s="1"/>
      <c r="O400" s="1"/>
      <c r="P400" s="1"/>
    </row>
    <row r="401" spans="1:16" ht="15.75" customHeight="1">
      <c r="A401" s="1"/>
      <c r="C401" s="1"/>
      <c r="D401" s="1"/>
      <c r="E401" s="1"/>
      <c r="F401" s="1"/>
      <c r="G401" s="1"/>
      <c r="H401" s="1"/>
      <c r="J401" s="1"/>
      <c r="K401" s="1"/>
      <c r="L401" s="1"/>
      <c r="M401" s="1"/>
      <c r="N401" s="1"/>
      <c r="O401" s="1"/>
      <c r="P401" s="1"/>
    </row>
    <row r="402" spans="1:16" ht="15.75" customHeight="1">
      <c r="A402" s="1"/>
      <c r="C402" s="1"/>
      <c r="D402" s="1"/>
      <c r="E402" s="1"/>
      <c r="F402" s="1"/>
      <c r="G402" s="1"/>
      <c r="H402" s="1"/>
      <c r="J402" s="1"/>
      <c r="K402" s="1"/>
      <c r="L402" s="1"/>
      <c r="M402" s="1"/>
      <c r="N402" s="1"/>
      <c r="O402" s="1"/>
      <c r="P402" s="1"/>
    </row>
    <row r="403" spans="1:16" ht="15.75" customHeight="1">
      <c r="A403" s="1"/>
      <c r="C403" s="1"/>
      <c r="D403" s="1"/>
      <c r="E403" s="1"/>
      <c r="F403" s="1"/>
      <c r="G403" s="1"/>
      <c r="H403" s="1"/>
      <c r="J403" s="1"/>
      <c r="K403" s="1"/>
      <c r="L403" s="1"/>
      <c r="M403" s="1"/>
      <c r="N403" s="1"/>
      <c r="O403" s="1"/>
      <c r="P403" s="1"/>
    </row>
    <row r="404" spans="1:16" ht="15.75" customHeight="1">
      <c r="A404" s="1"/>
      <c r="C404" s="1"/>
      <c r="D404" s="1"/>
      <c r="E404" s="1"/>
      <c r="F404" s="1"/>
      <c r="G404" s="1"/>
      <c r="H404" s="1"/>
      <c r="J404" s="1"/>
      <c r="K404" s="1"/>
      <c r="L404" s="1"/>
      <c r="M404" s="1"/>
      <c r="N404" s="1"/>
      <c r="O404" s="1"/>
      <c r="P404" s="1"/>
    </row>
    <row r="405" spans="1:16" ht="15.75" customHeight="1">
      <c r="A405" s="1"/>
      <c r="C405" s="1"/>
      <c r="D405" s="1"/>
      <c r="E405" s="1"/>
      <c r="F405" s="1"/>
      <c r="G405" s="1"/>
      <c r="H405" s="1"/>
      <c r="J405" s="1"/>
      <c r="K405" s="1"/>
      <c r="L405" s="1"/>
      <c r="M405" s="1"/>
      <c r="N405" s="1"/>
      <c r="O405" s="1"/>
      <c r="P405" s="1"/>
    </row>
    <row r="406" spans="1:16" ht="15.75" customHeight="1">
      <c r="A406" s="1"/>
      <c r="C406" s="1"/>
      <c r="D406" s="1"/>
      <c r="E406" s="1"/>
      <c r="F406" s="1"/>
      <c r="G406" s="1"/>
      <c r="H406" s="1"/>
      <c r="J406" s="1"/>
      <c r="K406" s="1"/>
      <c r="L406" s="1"/>
      <c r="M406" s="1"/>
      <c r="N406" s="1"/>
      <c r="O406" s="1"/>
      <c r="P406" s="1"/>
    </row>
    <row r="407" spans="1:16" ht="15.75" customHeight="1">
      <c r="A407" s="1"/>
      <c r="C407" s="1"/>
      <c r="D407" s="1"/>
      <c r="E407" s="1"/>
      <c r="F407" s="1"/>
      <c r="G407" s="1"/>
      <c r="H407" s="1"/>
      <c r="J407" s="1"/>
      <c r="K407" s="1"/>
      <c r="L407" s="1"/>
      <c r="M407" s="1"/>
      <c r="N407" s="1"/>
      <c r="O407" s="1"/>
      <c r="P407" s="1"/>
    </row>
    <row r="408" spans="1:16" ht="15.75" customHeight="1">
      <c r="A408" s="1"/>
      <c r="C408" s="1"/>
      <c r="D408" s="1"/>
      <c r="E408" s="1"/>
      <c r="F408" s="1"/>
      <c r="G408" s="1"/>
      <c r="H408" s="1"/>
      <c r="J408" s="1"/>
      <c r="K408" s="1"/>
      <c r="L408" s="1"/>
      <c r="M408" s="1"/>
      <c r="N408" s="1"/>
      <c r="O408" s="1"/>
      <c r="P408" s="1"/>
    </row>
    <row r="409" spans="1:16" ht="15.75" customHeight="1">
      <c r="A409" s="1"/>
      <c r="C409" s="1"/>
      <c r="D409" s="1"/>
      <c r="E409" s="1"/>
      <c r="F409" s="1"/>
      <c r="G409" s="1"/>
      <c r="H409" s="1"/>
      <c r="J409" s="1"/>
      <c r="K409" s="1"/>
      <c r="L409" s="1"/>
      <c r="M409" s="1"/>
      <c r="N409" s="1"/>
      <c r="O409" s="1"/>
      <c r="P409" s="1"/>
    </row>
    <row r="410" spans="1:16" ht="15.75" customHeight="1">
      <c r="A410" s="1"/>
      <c r="C410" s="1"/>
      <c r="D410" s="1"/>
      <c r="E410" s="1"/>
      <c r="F410" s="1"/>
      <c r="G410" s="1"/>
      <c r="H410" s="1"/>
      <c r="J410" s="1"/>
      <c r="K410" s="1"/>
      <c r="L410" s="1"/>
      <c r="M410" s="1"/>
      <c r="N410" s="1"/>
      <c r="O410" s="1"/>
      <c r="P410" s="1"/>
    </row>
    <row r="411" spans="1:16" ht="15.75" customHeight="1">
      <c r="A411" s="1"/>
      <c r="C411" s="1"/>
      <c r="D411" s="1"/>
      <c r="E411" s="1"/>
      <c r="F411" s="1"/>
      <c r="G411" s="1"/>
      <c r="H411" s="1"/>
      <c r="J411" s="1"/>
      <c r="K411" s="1"/>
      <c r="L411" s="1"/>
      <c r="M411" s="1"/>
      <c r="N411" s="1"/>
      <c r="O411" s="1"/>
      <c r="P411" s="1"/>
    </row>
    <row r="412" spans="1:16" ht="15.75" customHeight="1">
      <c r="A412" s="1"/>
      <c r="C412" s="1"/>
      <c r="D412" s="1"/>
      <c r="E412" s="1"/>
      <c r="F412" s="1"/>
      <c r="G412" s="1"/>
      <c r="H412" s="1"/>
      <c r="J412" s="1"/>
      <c r="K412" s="1"/>
      <c r="L412" s="1"/>
      <c r="M412" s="1"/>
      <c r="N412" s="1"/>
      <c r="O412" s="1"/>
      <c r="P412" s="1"/>
    </row>
    <row r="413" spans="1:16" ht="15.75" customHeight="1">
      <c r="A413" s="1"/>
      <c r="C413" s="1"/>
      <c r="D413" s="1"/>
      <c r="E413" s="1"/>
      <c r="F413" s="1"/>
      <c r="G413" s="1"/>
      <c r="H413" s="1"/>
      <c r="J413" s="1"/>
      <c r="K413" s="1"/>
      <c r="L413" s="1"/>
      <c r="M413" s="1"/>
      <c r="N413" s="1"/>
      <c r="O413" s="1"/>
      <c r="P413" s="1"/>
    </row>
    <row r="414" spans="1:16" ht="15.75" customHeight="1">
      <c r="A414" s="1"/>
      <c r="C414" s="1"/>
      <c r="D414" s="1"/>
      <c r="E414" s="1"/>
      <c r="F414" s="1"/>
      <c r="G414" s="1"/>
      <c r="H414" s="1"/>
      <c r="J414" s="1"/>
      <c r="K414" s="1"/>
      <c r="L414" s="1"/>
      <c r="M414" s="1"/>
      <c r="N414" s="1"/>
      <c r="O414" s="1"/>
      <c r="P414" s="1"/>
    </row>
    <row r="415" spans="1:16" ht="15.75" customHeight="1">
      <c r="A415" s="1"/>
      <c r="C415" s="1"/>
      <c r="D415" s="1"/>
      <c r="E415" s="1"/>
      <c r="F415" s="1"/>
      <c r="G415" s="1"/>
      <c r="H415" s="1"/>
      <c r="J415" s="1"/>
      <c r="K415" s="1"/>
      <c r="L415" s="1"/>
      <c r="M415" s="1"/>
      <c r="N415" s="1"/>
      <c r="O415" s="1"/>
      <c r="P415" s="1"/>
    </row>
    <row r="416" spans="1:16" ht="15.75" customHeight="1">
      <c r="A416" s="1"/>
      <c r="C416" s="1"/>
      <c r="D416" s="1"/>
      <c r="E416" s="1"/>
      <c r="F416" s="1"/>
      <c r="G416" s="1"/>
      <c r="H416" s="1"/>
      <c r="J416" s="1"/>
      <c r="K416" s="1"/>
      <c r="L416" s="1"/>
      <c r="M416" s="1"/>
      <c r="N416" s="1"/>
      <c r="O416" s="1"/>
      <c r="P416" s="1"/>
    </row>
    <row r="417" spans="1:16" ht="15.75" customHeight="1">
      <c r="A417" s="1"/>
      <c r="C417" s="1"/>
      <c r="D417" s="1"/>
      <c r="E417" s="1"/>
      <c r="F417" s="1"/>
      <c r="G417" s="1"/>
      <c r="H417" s="1"/>
      <c r="J417" s="1"/>
      <c r="K417" s="1"/>
      <c r="L417" s="1"/>
      <c r="M417" s="1"/>
      <c r="N417" s="1"/>
      <c r="O417" s="1"/>
      <c r="P417" s="1"/>
    </row>
    <row r="418" spans="1:16" ht="15.75" customHeight="1">
      <c r="A418" s="1"/>
      <c r="C418" s="1"/>
      <c r="D418" s="1"/>
      <c r="E418" s="1"/>
      <c r="F418" s="1"/>
      <c r="G418" s="1"/>
      <c r="H418" s="1"/>
      <c r="J418" s="1"/>
      <c r="K418" s="1"/>
      <c r="L418" s="1"/>
      <c r="M418" s="1"/>
      <c r="N418" s="1"/>
      <c r="O418" s="1"/>
      <c r="P418" s="1"/>
    </row>
    <row r="419" spans="1:16" ht="15.75" customHeight="1">
      <c r="A419" s="1"/>
      <c r="C419" s="1"/>
      <c r="D419" s="1"/>
      <c r="E419" s="1"/>
      <c r="F419" s="1"/>
      <c r="G419" s="1"/>
      <c r="H419" s="1"/>
      <c r="J419" s="1"/>
      <c r="K419" s="1"/>
      <c r="L419" s="1"/>
      <c r="M419" s="1"/>
      <c r="N419" s="1"/>
      <c r="O419" s="1"/>
      <c r="P419" s="1"/>
    </row>
    <row r="420" spans="1:16" ht="15.75" customHeight="1">
      <c r="A420" s="1"/>
      <c r="C420" s="1"/>
      <c r="D420" s="1"/>
      <c r="E420" s="1"/>
      <c r="F420" s="1"/>
      <c r="G420" s="1"/>
      <c r="H420" s="1"/>
      <c r="J420" s="1"/>
      <c r="K420" s="1"/>
      <c r="L420" s="1"/>
      <c r="M420" s="1"/>
      <c r="N420" s="1"/>
      <c r="O420" s="1"/>
      <c r="P420" s="1"/>
    </row>
    <row r="421" spans="1:16" ht="15.75" customHeight="1">
      <c r="A421" s="1"/>
      <c r="C421" s="1"/>
      <c r="D421" s="1"/>
      <c r="E421" s="1"/>
      <c r="F421" s="1"/>
      <c r="G421" s="1"/>
      <c r="H421" s="1"/>
      <c r="J421" s="1"/>
      <c r="K421" s="1"/>
      <c r="L421" s="1"/>
      <c r="M421" s="1"/>
      <c r="N421" s="1"/>
      <c r="O421" s="1"/>
      <c r="P421" s="1"/>
    </row>
    <row r="422" spans="1:16" ht="15.75" customHeight="1">
      <c r="A422" s="1"/>
      <c r="C422" s="1"/>
      <c r="D422" s="1"/>
      <c r="E422" s="1"/>
      <c r="F422" s="1"/>
      <c r="G422" s="1"/>
      <c r="H422" s="1"/>
      <c r="J422" s="1"/>
      <c r="K422" s="1"/>
      <c r="L422" s="1"/>
      <c r="M422" s="1"/>
      <c r="N422" s="1"/>
      <c r="O422" s="1"/>
      <c r="P422" s="1"/>
    </row>
    <row r="423" spans="1:16" ht="15.75" customHeight="1">
      <c r="A423" s="1"/>
      <c r="C423" s="1"/>
      <c r="D423" s="1"/>
      <c r="E423" s="1"/>
      <c r="F423" s="1"/>
      <c r="G423" s="1"/>
      <c r="H423" s="1"/>
      <c r="J423" s="1"/>
      <c r="K423" s="1"/>
      <c r="L423" s="1"/>
      <c r="M423" s="1"/>
      <c r="N423" s="1"/>
      <c r="O423" s="1"/>
      <c r="P423" s="1"/>
    </row>
    <row r="424" spans="1:16" ht="15.75" customHeight="1">
      <c r="A424" s="1"/>
      <c r="C424" s="1"/>
      <c r="D424" s="1"/>
      <c r="E424" s="1"/>
      <c r="F424" s="1"/>
      <c r="G424" s="1"/>
      <c r="H424" s="1"/>
      <c r="J424" s="1"/>
      <c r="K424" s="1"/>
      <c r="L424" s="1"/>
      <c r="M424" s="1"/>
      <c r="N424" s="1"/>
      <c r="O424" s="1"/>
      <c r="P424" s="1"/>
    </row>
    <row r="425" spans="1:16" ht="15.75" customHeight="1">
      <c r="A425" s="1"/>
      <c r="C425" s="1"/>
      <c r="D425" s="1"/>
      <c r="E425" s="1"/>
      <c r="F425" s="1"/>
      <c r="G425" s="1"/>
      <c r="H425" s="1"/>
      <c r="J425" s="1"/>
      <c r="K425" s="1"/>
      <c r="L425" s="1"/>
      <c r="M425" s="1"/>
      <c r="N425" s="1"/>
      <c r="O425" s="1"/>
      <c r="P425" s="1"/>
    </row>
    <row r="426" spans="1:16" ht="15.75" customHeight="1">
      <c r="A426" s="1"/>
      <c r="C426" s="1"/>
      <c r="D426" s="1"/>
      <c r="E426" s="1"/>
      <c r="F426" s="1"/>
      <c r="G426" s="1"/>
      <c r="H426" s="1"/>
      <c r="J426" s="1"/>
      <c r="K426" s="1"/>
      <c r="L426" s="1"/>
      <c r="M426" s="1"/>
      <c r="N426" s="1"/>
      <c r="O426" s="1"/>
      <c r="P426" s="1"/>
    </row>
    <row r="427" spans="1:16" ht="15.75" customHeight="1">
      <c r="A427" s="1"/>
      <c r="C427" s="1"/>
      <c r="D427" s="1"/>
      <c r="E427" s="1"/>
      <c r="F427" s="1"/>
      <c r="G427" s="1"/>
      <c r="H427" s="1"/>
      <c r="J427" s="1"/>
      <c r="K427" s="1"/>
      <c r="L427" s="1"/>
      <c r="M427" s="1"/>
      <c r="N427" s="1"/>
      <c r="O427" s="1"/>
      <c r="P427" s="1"/>
    </row>
    <row r="428" spans="1:16" ht="15.75" customHeight="1">
      <c r="A428" s="1"/>
      <c r="C428" s="1"/>
      <c r="D428" s="1"/>
      <c r="E428" s="1"/>
      <c r="F428" s="1"/>
      <c r="G428" s="1"/>
      <c r="H428" s="1"/>
      <c r="J428" s="1"/>
      <c r="K428" s="1"/>
      <c r="L428" s="1"/>
      <c r="M428" s="1"/>
      <c r="N428" s="1"/>
      <c r="O428" s="1"/>
      <c r="P428" s="1"/>
    </row>
    <row r="429" spans="1:16" ht="15.75" customHeight="1">
      <c r="A429" s="1"/>
      <c r="C429" s="1"/>
      <c r="D429" s="1"/>
      <c r="E429" s="1"/>
      <c r="F429" s="1"/>
      <c r="G429" s="1"/>
      <c r="H429" s="1"/>
      <c r="J429" s="1"/>
      <c r="K429" s="1"/>
      <c r="L429" s="1"/>
      <c r="M429" s="1"/>
      <c r="N429" s="1"/>
      <c r="O429" s="1"/>
      <c r="P429" s="1"/>
    </row>
    <row r="430" spans="1:16" ht="15.75" customHeight="1">
      <c r="A430" s="1"/>
      <c r="C430" s="1"/>
      <c r="D430" s="1"/>
      <c r="E430" s="1"/>
      <c r="F430" s="1"/>
      <c r="G430" s="1"/>
      <c r="H430" s="1"/>
      <c r="J430" s="1"/>
      <c r="K430" s="1"/>
      <c r="L430" s="1"/>
      <c r="M430" s="1"/>
      <c r="N430" s="1"/>
      <c r="O430" s="1"/>
      <c r="P430" s="1"/>
    </row>
    <row r="431" spans="1:16" ht="15.75" customHeight="1">
      <c r="A431" s="1"/>
      <c r="C431" s="1"/>
      <c r="D431" s="1"/>
      <c r="E431" s="1"/>
      <c r="F431" s="1"/>
      <c r="G431" s="1"/>
      <c r="H431" s="1"/>
      <c r="J431" s="1"/>
      <c r="K431" s="1"/>
      <c r="L431" s="1"/>
      <c r="M431" s="1"/>
      <c r="N431" s="1"/>
      <c r="O431" s="1"/>
      <c r="P431" s="1"/>
    </row>
    <row r="432" spans="1:16" ht="15.75" customHeight="1">
      <c r="A432" s="1"/>
      <c r="C432" s="1"/>
      <c r="D432" s="1"/>
      <c r="E432" s="1"/>
      <c r="F432" s="1"/>
      <c r="G432" s="1"/>
      <c r="H432" s="1"/>
      <c r="J432" s="1"/>
      <c r="K432" s="1"/>
      <c r="L432" s="1"/>
      <c r="M432" s="1"/>
      <c r="N432" s="1"/>
      <c r="O432" s="1"/>
      <c r="P432" s="1"/>
    </row>
    <row r="433" spans="1:16" ht="15.75" customHeight="1">
      <c r="A433" s="1"/>
      <c r="C433" s="1"/>
      <c r="D433" s="1"/>
      <c r="E433" s="1"/>
      <c r="F433" s="1"/>
      <c r="G433" s="1"/>
      <c r="H433" s="1"/>
      <c r="J433" s="1"/>
      <c r="K433" s="1"/>
      <c r="L433" s="1"/>
      <c r="M433" s="1"/>
      <c r="N433" s="1"/>
      <c r="O433" s="1"/>
      <c r="P433" s="1"/>
    </row>
    <row r="434" spans="1:16" ht="15.75" customHeight="1">
      <c r="A434" s="1"/>
      <c r="C434" s="1"/>
      <c r="D434" s="1"/>
      <c r="E434" s="1"/>
      <c r="F434" s="1"/>
      <c r="G434" s="1"/>
      <c r="H434" s="1"/>
      <c r="J434" s="1"/>
      <c r="K434" s="1"/>
      <c r="L434" s="1"/>
      <c r="M434" s="1"/>
      <c r="N434" s="1"/>
      <c r="O434" s="1"/>
      <c r="P434" s="1"/>
    </row>
    <row r="435" spans="1:16" ht="15.75" customHeight="1">
      <c r="A435" s="1"/>
      <c r="C435" s="1"/>
      <c r="D435" s="1"/>
      <c r="E435" s="1"/>
      <c r="F435" s="1"/>
      <c r="G435" s="1"/>
      <c r="H435" s="1"/>
      <c r="J435" s="1"/>
      <c r="K435" s="1"/>
      <c r="L435" s="1"/>
      <c r="M435" s="1"/>
      <c r="N435" s="1"/>
      <c r="O435" s="1"/>
      <c r="P435" s="1"/>
    </row>
    <row r="436" spans="1:16" ht="15.75" customHeight="1">
      <c r="A436" s="1"/>
      <c r="C436" s="1"/>
      <c r="D436" s="1"/>
      <c r="E436" s="1"/>
      <c r="F436" s="1"/>
      <c r="G436" s="1"/>
      <c r="H436" s="1"/>
      <c r="J436" s="1"/>
      <c r="K436" s="1"/>
      <c r="L436" s="1"/>
      <c r="M436" s="1"/>
      <c r="N436" s="1"/>
      <c r="O436" s="1"/>
      <c r="P436" s="1"/>
    </row>
    <row r="437" spans="1:16" ht="15.75" customHeight="1">
      <c r="A437" s="1"/>
      <c r="C437" s="1"/>
      <c r="D437" s="1"/>
      <c r="E437" s="1"/>
      <c r="F437" s="1"/>
      <c r="G437" s="1"/>
      <c r="H437" s="1"/>
      <c r="J437" s="1"/>
      <c r="K437" s="1"/>
      <c r="L437" s="1"/>
      <c r="M437" s="1"/>
      <c r="N437" s="1"/>
      <c r="O437" s="1"/>
      <c r="P437" s="1"/>
    </row>
    <row r="438" spans="1:16" ht="15.75" customHeight="1">
      <c r="A438" s="1"/>
      <c r="C438" s="1"/>
      <c r="D438" s="1"/>
      <c r="E438" s="1"/>
      <c r="F438" s="1"/>
      <c r="G438" s="1"/>
      <c r="H438" s="1"/>
      <c r="J438" s="1"/>
      <c r="K438" s="1"/>
      <c r="L438" s="1"/>
      <c r="M438" s="1"/>
      <c r="N438" s="1"/>
      <c r="O438" s="1"/>
      <c r="P438" s="1"/>
    </row>
    <row r="439" spans="1:16" ht="15.75" customHeight="1">
      <c r="A439" s="1"/>
      <c r="C439" s="1"/>
      <c r="D439" s="1"/>
      <c r="E439" s="1"/>
      <c r="F439" s="1"/>
      <c r="G439" s="1"/>
      <c r="H439" s="1"/>
      <c r="J439" s="1"/>
      <c r="K439" s="1"/>
      <c r="L439" s="1"/>
      <c r="M439" s="1"/>
      <c r="N439" s="1"/>
      <c r="O439" s="1"/>
      <c r="P439" s="1"/>
    </row>
    <row r="440" spans="1:16" ht="15.75" customHeight="1">
      <c r="A440" s="1"/>
      <c r="C440" s="1"/>
      <c r="D440" s="1"/>
      <c r="E440" s="1"/>
      <c r="F440" s="1"/>
      <c r="G440" s="1"/>
      <c r="H440" s="1"/>
      <c r="J440" s="1"/>
      <c r="K440" s="1"/>
      <c r="L440" s="1"/>
      <c r="M440" s="1"/>
      <c r="N440" s="1"/>
      <c r="O440" s="1"/>
      <c r="P440" s="1"/>
    </row>
    <row r="441" spans="1:16" ht="15.75" customHeight="1">
      <c r="A441" s="1"/>
      <c r="C441" s="1"/>
      <c r="D441" s="1"/>
      <c r="E441" s="1"/>
      <c r="F441" s="1"/>
      <c r="G441" s="1"/>
      <c r="H441" s="1"/>
      <c r="J441" s="1"/>
      <c r="K441" s="1"/>
      <c r="L441" s="1"/>
      <c r="M441" s="1"/>
      <c r="N441" s="1"/>
      <c r="O441" s="1"/>
      <c r="P441" s="1"/>
    </row>
    <row r="442" spans="1:16" ht="15.75" customHeight="1">
      <c r="A442" s="1"/>
      <c r="C442" s="1"/>
      <c r="D442" s="1"/>
      <c r="E442" s="1"/>
      <c r="F442" s="1"/>
      <c r="G442" s="1"/>
      <c r="H442" s="1"/>
      <c r="J442" s="1"/>
      <c r="K442" s="1"/>
      <c r="L442" s="1"/>
      <c r="M442" s="1"/>
      <c r="N442" s="1"/>
      <c r="O442" s="1"/>
      <c r="P442" s="1"/>
    </row>
    <row r="443" spans="1:16" ht="15.75" customHeight="1">
      <c r="A443" s="1"/>
      <c r="C443" s="1"/>
      <c r="D443" s="1"/>
      <c r="E443" s="1"/>
      <c r="F443" s="1"/>
      <c r="G443" s="1"/>
      <c r="H443" s="1"/>
      <c r="J443" s="1"/>
      <c r="K443" s="1"/>
      <c r="L443" s="1"/>
      <c r="M443" s="1"/>
      <c r="N443" s="1"/>
      <c r="O443" s="1"/>
      <c r="P443" s="1"/>
    </row>
    <row r="444" spans="1:16" ht="15.75" customHeight="1">
      <c r="A444" s="1"/>
      <c r="C444" s="1"/>
      <c r="D444" s="1"/>
      <c r="E444" s="1"/>
      <c r="F444" s="1"/>
      <c r="G444" s="1"/>
      <c r="H444" s="1"/>
      <c r="J444" s="1"/>
      <c r="K444" s="1"/>
      <c r="L444" s="1"/>
      <c r="M444" s="1"/>
      <c r="N444" s="1"/>
      <c r="O444" s="1"/>
      <c r="P444" s="1"/>
    </row>
    <row r="445" spans="1:16" ht="15.75" customHeight="1">
      <c r="A445" s="1"/>
      <c r="C445" s="1"/>
      <c r="D445" s="1"/>
      <c r="E445" s="1"/>
      <c r="F445" s="1"/>
      <c r="G445" s="1"/>
      <c r="H445" s="1"/>
      <c r="J445" s="1"/>
      <c r="K445" s="1"/>
      <c r="L445" s="1"/>
      <c r="M445" s="1"/>
      <c r="N445" s="1"/>
      <c r="O445" s="1"/>
      <c r="P445" s="1"/>
    </row>
    <row r="446" spans="1:16" ht="15.75" customHeight="1">
      <c r="A446" s="1"/>
      <c r="C446" s="1"/>
      <c r="D446" s="1"/>
      <c r="E446" s="1"/>
      <c r="F446" s="1"/>
      <c r="G446" s="1"/>
      <c r="H446" s="1"/>
      <c r="J446" s="1"/>
      <c r="K446" s="1"/>
      <c r="L446" s="1"/>
      <c r="M446" s="1"/>
      <c r="N446" s="1"/>
      <c r="O446" s="1"/>
      <c r="P446" s="1"/>
    </row>
    <row r="447" spans="1:16" ht="15.75" customHeight="1">
      <c r="A447" s="1"/>
      <c r="C447" s="1"/>
      <c r="D447" s="1"/>
      <c r="E447" s="1"/>
      <c r="F447" s="1"/>
      <c r="G447" s="1"/>
      <c r="H447" s="1"/>
      <c r="J447" s="1"/>
      <c r="K447" s="1"/>
      <c r="L447" s="1"/>
      <c r="M447" s="1"/>
      <c r="N447" s="1"/>
      <c r="O447" s="1"/>
      <c r="P447" s="1"/>
    </row>
    <row r="448" spans="1:16" ht="15.75" customHeight="1">
      <c r="A448" s="1"/>
      <c r="C448" s="1"/>
      <c r="D448" s="1"/>
      <c r="E448" s="1"/>
      <c r="F448" s="1"/>
      <c r="G448" s="1"/>
      <c r="H448" s="1"/>
      <c r="J448" s="1"/>
      <c r="K448" s="1"/>
      <c r="L448" s="1"/>
      <c r="M448" s="1"/>
      <c r="N448" s="1"/>
      <c r="O448" s="1"/>
      <c r="P448" s="1"/>
    </row>
    <row r="449" spans="1:16" ht="15.75" customHeight="1">
      <c r="A449" s="1"/>
      <c r="C449" s="1"/>
      <c r="D449" s="1"/>
      <c r="E449" s="1"/>
      <c r="F449" s="1"/>
      <c r="G449" s="1"/>
      <c r="H449" s="1"/>
      <c r="J449" s="1"/>
      <c r="K449" s="1"/>
      <c r="L449" s="1"/>
      <c r="M449" s="1"/>
      <c r="N449" s="1"/>
      <c r="O449" s="1"/>
      <c r="P449" s="1"/>
    </row>
    <row r="450" spans="1:16" ht="15.75" customHeight="1">
      <c r="A450" s="1"/>
      <c r="C450" s="1"/>
      <c r="D450" s="1"/>
      <c r="E450" s="1"/>
      <c r="F450" s="1"/>
      <c r="G450" s="1"/>
      <c r="H450" s="1"/>
      <c r="J450" s="1"/>
      <c r="K450" s="1"/>
      <c r="L450" s="1"/>
      <c r="M450" s="1"/>
      <c r="N450" s="1"/>
      <c r="O450" s="1"/>
      <c r="P450" s="1"/>
    </row>
    <row r="451" spans="1:16" ht="15.75" customHeight="1">
      <c r="A451" s="1"/>
      <c r="C451" s="1"/>
      <c r="D451" s="1"/>
      <c r="E451" s="1"/>
      <c r="F451" s="1"/>
      <c r="G451" s="1"/>
      <c r="H451" s="1"/>
      <c r="J451" s="1"/>
      <c r="K451" s="1"/>
      <c r="L451" s="1"/>
      <c r="M451" s="1"/>
      <c r="N451" s="1"/>
      <c r="O451" s="1"/>
      <c r="P451" s="1"/>
    </row>
    <row r="452" spans="1:16" ht="15.75" customHeight="1">
      <c r="A452" s="1"/>
      <c r="C452" s="1"/>
      <c r="D452" s="1"/>
      <c r="E452" s="1"/>
      <c r="F452" s="1"/>
      <c r="G452" s="1"/>
      <c r="H452" s="1"/>
      <c r="J452" s="1"/>
      <c r="K452" s="1"/>
      <c r="L452" s="1"/>
      <c r="M452" s="1"/>
      <c r="N452" s="1"/>
      <c r="O452" s="1"/>
      <c r="P452" s="1"/>
    </row>
    <row r="453" spans="1:16" ht="15.75" customHeight="1">
      <c r="A453" s="1"/>
      <c r="C453" s="1"/>
      <c r="D453" s="1"/>
      <c r="E453" s="1"/>
      <c r="F453" s="1"/>
      <c r="G453" s="1"/>
      <c r="H453" s="1"/>
      <c r="J453" s="1"/>
      <c r="K453" s="1"/>
      <c r="L453" s="1"/>
      <c r="M453" s="1"/>
      <c r="N453" s="1"/>
      <c r="O453" s="1"/>
      <c r="P453" s="1"/>
    </row>
    <row r="454" spans="1:16" ht="15.75" customHeight="1">
      <c r="A454" s="1"/>
      <c r="C454" s="1"/>
      <c r="D454" s="1"/>
      <c r="E454" s="1"/>
      <c r="F454" s="1"/>
      <c r="G454" s="1"/>
      <c r="H454" s="1"/>
      <c r="J454" s="1"/>
      <c r="K454" s="1"/>
      <c r="L454" s="1"/>
      <c r="M454" s="1"/>
      <c r="N454" s="1"/>
      <c r="O454" s="1"/>
      <c r="P454" s="1"/>
    </row>
    <row r="455" spans="1:16" ht="15.75" customHeight="1">
      <c r="A455" s="1"/>
      <c r="C455" s="1"/>
      <c r="D455" s="1"/>
      <c r="E455" s="1"/>
      <c r="F455" s="1"/>
      <c r="G455" s="1"/>
      <c r="H455" s="1"/>
      <c r="J455" s="1"/>
      <c r="K455" s="1"/>
      <c r="L455" s="1"/>
      <c r="M455" s="1"/>
      <c r="N455" s="1"/>
      <c r="O455" s="1"/>
      <c r="P455" s="1"/>
    </row>
    <row r="456" spans="1:16" ht="15.75" customHeight="1">
      <c r="A456" s="1"/>
      <c r="C456" s="1"/>
      <c r="D456" s="1"/>
      <c r="E456" s="1"/>
      <c r="F456" s="1"/>
      <c r="G456" s="1"/>
      <c r="H456" s="1"/>
      <c r="J456" s="1"/>
      <c r="K456" s="1"/>
      <c r="L456" s="1"/>
      <c r="M456" s="1"/>
      <c r="N456" s="1"/>
      <c r="O456" s="1"/>
      <c r="P456" s="1"/>
    </row>
    <row r="457" spans="1:16" ht="15.75" customHeight="1">
      <c r="A457" s="1"/>
      <c r="C457" s="1"/>
      <c r="D457" s="1"/>
      <c r="E457" s="1"/>
      <c r="F457" s="1"/>
      <c r="G457" s="1"/>
      <c r="H457" s="1"/>
      <c r="J457" s="1"/>
      <c r="K457" s="1"/>
      <c r="L457" s="1"/>
      <c r="M457" s="1"/>
      <c r="N457" s="1"/>
      <c r="O457" s="1"/>
      <c r="P457" s="1"/>
    </row>
    <row r="458" spans="1:16" ht="15.75" customHeight="1">
      <c r="A458" s="1"/>
      <c r="C458" s="1"/>
      <c r="D458" s="1"/>
      <c r="E458" s="1"/>
      <c r="F458" s="1"/>
      <c r="G458" s="1"/>
      <c r="H458" s="1"/>
      <c r="J458" s="1"/>
      <c r="K458" s="1"/>
      <c r="L458" s="1"/>
      <c r="M458" s="1"/>
      <c r="N458" s="1"/>
      <c r="O458" s="1"/>
      <c r="P458" s="1"/>
    </row>
    <row r="459" spans="1:16" ht="15.75" customHeight="1">
      <c r="A459" s="1"/>
      <c r="C459" s="1"/>
      <c r="D459" s="1"/>
      <c r="E459" s="1"/>
      <c r="F459" s="1"/>
      <c r="G459" s="1"/>
      <c r="H459" s="1"/>
      <c r="J459" s="1"/>
      <c r="K459" s="1"/>
      <c r="L459" s="1"/>
      <c r="M459" s="1"/>
      <c r="N459" s="1"/>
      <c r="O459" s="1"/>
      <c r="P459" s="1"/>
    </row>
    <row r="460" spans="1:16" ht="15.75" customHeight="1">
      <c r="A460" s="1"/>
      <c r="C460" s="1"/>
      <c r="D460" s="1"/>
      <c r="E460" s="1"/>
      <c r="F460" s="1"/>
      <c r="G460" s="1"/>
      <c r="H460" s="1"/>
      <c r="J460" s="1"/>
      <c r="K460" s="1"/>
      <c r="L460" s="1"/>
      <c r="M460" s="1"/>
      <c r="N460" s="1"/>
      <c r="O460" s="1"/>
      <c r="P460" s="1"/>
    </row>
    <row r="461" spans="1:16" ht="15.75" customHeight="1">
      <c r="A461" s="1"/>
      <c r="C461" s="1"/>
      <c r="D461" s="1"/>
      <c r="E461" s="1"/>
      <c r="F461" s="1"/>
      <c r="G461" s="1"/>
      <c r="H461" s="1"/>
      <c r="J461" s="1"/>
      <c r="K461" s="1"/>
      <c r="L461" s="1"/>
      <c r="M461" s="1"/>
      <c r="N461" s="1"/>
      <c r="O461" s="1"/>
      <c r="P461" s="1"/>
    </row>
    <row r="462" spans="1:16" ht="15.75" customHeight="1">
      <c r="A462" s="1"/>
      <c r="C462" s="1"/>
      <c r="D462" s="1"/>
      <c r="E462" s="1"/>
      <c r="F462" s="1"/>
      <c r="G462" s="1"/>
      <c r="H462" s="1"/>
      <c r="J462" s="1"/>
      <c r="K462" s="1"/>
      <c r="L462" s="1"/>
      <c r="M462" s="1"/>
      <c r="N462" s="1"/>
      <c r="O462" s="1"/>
      <c r="P462" s="1"/>
    </row>
    <row r="463" spans="1:16" ht="15.75" customHeight="1">
      <c r="A463" s="1"/>
      <c r="C463" s="1"/>
      <c r="D463" s="1"/>
      <c r="E463" s="1"/>
      <c r="F463" s="1"/>
      <c r="G463" s="1"/>
      <c r="H463" s="1"/>
      <c r="J463" s="1"/>
      <c r="K463" s="1"/>
      <c r="L463" s="1"/>
      <c r="M463" s="1"/>
      <c r="N463" s="1"/>
      <c r="O463" s="1"/>
      <c r="P463" s="1"/>
    </row>
    <row r="464" spans="1:16" ht="15.75" customHeight="1">
      <c r="A464" s="1"/>
      <c r="C464" s="1"/>
      <c r="D464" s="1"/>
      <c r="E464" s="1"/>
      <c r="F464" s="1"/>
      <c r="G464" s="1"/>
      <c r="H464" s="1"/>
      <c r="J464" s="1"/>
      <c r="K464" s="1"/>
      <c r="L464" s="1"/>
      <c r="M464" s="1"/>
      <c r="N464" s="1"/>
      <c r="O464" s="1"/>
      <c r="P464" s="1"/>
    </row>
    <row r="465" spans="1:16" ht="15.75" customHeight="1">
      <c r="A465" s="1"/>
      <c r="C465" s="1"/>
      <c r="D465" s="1"/>
      <c r="E465" s="1"/>
      <c r="F465" s="1"/>
      <c r="G465" s="1"/>
      <c r="H465" s="1"/>
      <c r="J465" s="1"/>
      <c r="K465" s="1"/>
      <c r="L465" s="1"/>
      <c r="M465" s="1"/>
      <c r="N465" s="1"/>
      <c r="O465" s="1"/>
      <c r="P465" s="1"/>
    </row>
    <row r="466" spans="1:16" ht="15.75" customHeight="1">
      <c r="A466" s="1"/>
      <c r="C466" s="1"/>
      <c r="D466" s="1"/>
      <c r="E466" s="1"/>
      <c r="F466" s="1"/>
      <c r="G466" s="1"/>
      <c r="H466" s="1"/>
      <c r="J466" s="1"/>
      <c r="K466" s="1"/>
      <c r="L466" s="1"/>
      <c r="M466" s="1"/>
      <c r="N466" s="1"/>
      <c r="O466" s="1"/>
      <c r="P466" s="1"/>
    </row>
    <row r="467" spans="1:16" ht="15.75" customHeight="1">
      <c r="A467" s="1"/>
      <c r="C467" s="1"/>
      <c r="D467" s="1"/>
      <c r="E467" s="1"/>
      <c r="F467" s="1"/>
      <c r="G467" s="1"/>
      <c r="H467" s="1"/>
      <c r="J467" s="1"/>
      <c r="K467" s="1"/>
      <c r="L467" s="1"/>
      <c r="M467" s="1"/>
      <c r="N467" s="1"/>
      <c r="O467" s="1"/>
      <c r="P467" s="1"/>
    </row>
    <row r="468" spans="1:16" ht="15.75" customHeight="1">
      <c r="A468" s="1"/>
      <c r="C468" s="1"/>
      <c r="D468" s="1"/>
      <c r="E468" s="1"/>
      <c r="F468" s="1"/>
      <c r="G468" s="1"/>
      <c r="H468" s="1"/>
      <c r="J468" s="1"/>
      <c r="K468" s="1"/>
      <c r="L468" s="1"/>
      <c r="M468" s="1"/>
      <c r="N468" s="1"/>
      <c r="O468" s="1"/>
      <c r="P468" s="1"/>
    </row>
    <row r="469" spans="1:16" ht="15.75" customHeight="1">
      <c r="A469" s="1"/>
      <c r="C469" s="1"/>
      <c r="D469" s="1"/>
      <c r="E469" s="1"/>
      <c r="F469" s="1"/>
      <c r="G469" s="1"/>
      <c r="H469" s="1"/>
      <c r="J469" s="1"/>
      <c r="K469" s="1"/>
      <c r="L469" s="1"/>
      <c r="M469" s="1"/>
      <c r="N469" s="1"/>
      <c r="O469" s="1"/>
      <c r="P469" s="1"/>
    </row>
    <row r="470" spans="1:16" ht="15.75" customHeight="1">
      <c r="A470" s="1"/>
      <c r="C470" s="1"/>
      <c r="D470" s="1"/>
      <c r="E470" s="1"/>
      <c r="F470" s="1"/>
      <c r="G470" s="1"/>
      <c r="H470" s="1"/>
      <c r="J470" s="1"/>
      <c r="K470" s="1"/>
      <c r="L470" s="1"/>
      <c r="M470" s="1"/>
      <c r="N470" s="1"/>
      <c r="O470" s="1"/>
      <c r="P470" s="1"/>
    </row>
    <row r="471" spans="1:16" ht="15.75" customHeight="1">
      <c r="A471" s="1"/>
      <c r="C471" s="1"/>
      <c r="D471" s="1"/>
      <c r="E471" s="1"/>
      <c r="F471" s="1"/>
      <c r="G471" s="1"/>
      <c r="H471" s="1"/>
      <c r="J471" s="1"/>
      <c r="K471" s="1"/>
      <c r="L471" s="1"/>
      <c r="M471" s="1"/>
      <c r="N471" s="1"/>
      <c r="O471" s="1"/>
      <c r="P471" s="1"/>
    </row>
    <row r="472" spans="1:16" ht="15.75" customHeight="1">
      <c r="A472" s="1"/>
      <c r="C472" s="1"/>
      <c r="D472" s="1"/>
      <c r="E472" s="1"/>
      <c r="F472" s="1"/>
      <c r="G472" s="1"/>
      <c r="H472" s="1"/>
      <c r="J472" s="1"/>
      <c r="K472" s="1"/>
      <c r="L472" s="1"/>
      <c r="M472" s="1"/>
      <c r="N472" s="1"/>
      <c r="O472" s="1"/>
      <c r="P472" s="1"/>
    </row>
    <row r="473" spans="1:16" ht="15.75" customHeight="1">
      <c r="A473" s="1"/>
      <c r="C473" s="1"/>
      <c r="D473" s="1"/>
      <c r="E473" s="1"/>
      <c r="F473" s="1"/>
      <c r="G473" s="1"/>
      <c r="H473" s="1"/>
      <c r="J473" s="1"/>
      <c r="K473" s="1"/>
      <c r="L473" s="1"/>
      <c r="M473" s="1"/>
      <c r="N473" s="1"/>
      <c r="O473" s="1"/>
      <c r="P473" s="1"/>
    </row>
    <row r="474" spans="1:16" ht="15.75" customHeight="1">
      <c r="A474" s="1"/>
      <c r="C474" s="1"/>
      <c r="D474" s="1"/>
      <c r="E474" s="1"/>
      <c r="F474" s="1"/>
      <c r="G474" s="1"/>
      <c r="H474" s="1"/>
      <c r="J474" s="1"/>
      <c r="K474" s="1"/>
      <c r="L474" s="1"/>
      <c r="M474" s="1"/>
      <c r="N474" s="1"/>
      <c r="O474" s="1"/>
      <c r="P474" s="1"/>
    </row>
    <row r="475" spans="1:16" ht="15.75" customHeight="1">
      <c r="A475" s="1"/>
      <c r="C475" s="1"/>
      <c r="D475" s="1"/>
      <c r="E475" s="1"/>
      <c r="F475" s="1"/>
      <c r="G475" s="1"/>
      <c r="H475" s="1"/>
      <c r="J475" s="1"/>
      <c r="K475" s="1"/>
      <c r="L475" s="1"/>
      <c r="M475" s="1"/>
      <c r="N475" s="1"/>
      <c r="O475" s="1"/>
      <c r="P475" s="1"/>
    </row>
    <row r="476" spans="1:16" ht="15.75" customHeight="1">
      <c r="A476" s="1"/>
      <c r="C476" s="1"/>
      <c r="D476" s="1"/>
      <c r="E476" s="1"/>
      <c r="F476" s="1"/>
      <c r="G476" s="1"/>
      <c r="H476" s="1"/>
      <c r="J476" s="1"/>
      <c r="K476" s="1"/>
      <c r="L476" s="1"/>
      <c r="M476" s="1"/>
      <c r="N476" s="1"/>
      <c r="O476" s="1"/>
      <c r="P476" s="1"/>
    </row>
    <row r="477" spans="1:16" ht="15.75" customHeight="1">
      <c r="A477" s="1"/>
      <c r="C477" s="1"/>
      <c r="D477" s="1"/>
      <c r="E477" s="1"/>
      <c r="F477" s="1"/>
      <c r="G477" s="1"/>
      <c r="H477" s="1"/>
      <c r="J477" s="1"/>
      <c r="K477" s="1"/>
      <c r="L477" s="1"/>
      <c r="M477" s="1"/>
      <c r="N477" s="1"/>
      <c r="O477" s="1"/>
      <c r="P477" s="1"/>
    </row>
    <row r="478" spans="1:16" ht="15.75" customHeight="1">
      <c r="A478" s="1"/>
      <c r="C478" s="1"/>
      <c r="D478" s="1"/>
      <c r="E478" s="1"/>
      <c r="F478" s="1"/>
      <c r="G478" s="1"/>
      <c r="H478" s="1"/>
      <c r="J478" s="1"/>
      <c r="K478" s="1"/>
      <c r="L478" s="1"/>
      <c r="M478" s="1"/>
      <c r="N478" s="1"/>
      <c r="O478" s="1"/>
      <c r="P478" s="1"/>
    </row>
    <row r="479" spans="1:16" ht="15.75" customHeight="1">
      <c r="A479" s="1"/>
      <c r="C479" s="1"/>
      <c r="D479" s="1"/>
      <c r="E479" s="1"/>
      <c r="F479" s="1"/>
      <c r="G479" s="1"/>
      <c r="H479" s="1"/>
      <c r="J479" s="1"/>
      <c r="K479" s="1"/>
      <c r="L479" s="1"/>
      <c r="M479" s="1"/>
      <c r="N479" s="1"/>
      <c r="O479" s="1"/>
      <c r="P479" s="1"/>
    </row>
    <row r="480" spans="1:16" ht="15.75" customHeight="1">
      <c r="A480" s="1"/>
      <c r="C480" s="1"/>
      <c r="D480" s="1"/>
      <c r="E480" s="1"/>
      <c r="F480" s="1"/>
      <c r="G480" s="1"/>
      <c r="H480" s="1"/>
      <c r="J480" s="1"/>
      <c r="K480" s="1"/>
      <c r="L480" s="1"/>
      <c r="M480" s="1"/>
      <c r="N480" s="1"/>
      <c r="O480" s="1"/>
      <c r="P480" s="1"/>
    </row>
    <row r="481" spans="1:16" ht="15.75" customHeight="1">
      <c r="A481" s="1"/>
      <c r="C481" s="1"/>
      <c r="D481" s="1"/>
      <c r="E481" s="1"/>
      <c r="F481" s="1"/>
      <c r="G481" s="1"/>
      <c r="H481" s="1"/>
      <c r="J481" s="1"/>
      <c r="K481" s="1"/>
      <c r="L481" s="1"/>
      <c r="M481" s="1"/>
      <c r="N481" s="1"/>
      <c r="O481" s="1"/>
      <c r="P481" s="1"/>
    </row>
    <row r="482" spans="1:16" ht="15.75" customHeight="1">
      <c r="A482" s="1"/>
      <c r="C482" s="1"/>
      <c r="D482" s="1"/>
      <c r="E482" s="1"/>
      <c r="F482" s="1"/>
      <c r="G482" s="1"/>
      <c r="H482" s="1"/>
      <c r="J482" s="1"/>
      <c r="K482" s="1"/>
      <c r="L482" s="1"/>
      <c r="M482" s="1"/>
      <c r="N482" s="1"/>
      <c r="O482" s="1"/>
      <c r="P482" s="1"/>
    </row>
    <row r="483" spans="1:16" ht="15.75" customHeight="1">
      <c r="A483" s="1"/>
      <c r="C483" s="1"/>
      <c r="D483" s="1"/>
      <c r="E483" s="1"/>
      <c r="F483" s="1"/>
      <c r="G483" s="1"/>
      <c r="H483" s="1"/>
      <c r="J483" s="1"/>
      <c r="K483" s="1"/>
      <c r="L483" s="1"/>
      <c r="M483" s="1"/>
      <c r="N483" s="1"/>
      <c r="O483" s="1"/>
      <c r="P483" s="1"/>
    </row>
    <row r="484" spans="1:16" ht="15.75" customHeight="1">
      <c r="A484" s="1"/>
      <c r="C484" s="1"/>
      <c r="D484" s="1"/>
      <c r="E484" s="1"/>
      <c r="F484" s="1"/>
      <c r="G484" s="1"/>
      <c r="H484" s="1"/>
      <c r="J484" s="1"/>
      <c r="K484" s="1"/>
      <c r="L484" s="1"/>
      <c r="M484" s="1"/>
      <c r="N484" s="1"/>
      <c r="O484" s="1"/>
      <c r="P484" s="1"/>
    </row>
    <row r="485" spans="1:16" ht="15.75" customHeight="1">
      <c r="A485" s="1"/>
      <c r="C485" s="1"/>
      <c r="D485" s="1"/>
      <c r="E485" s="1"/>
      <c r="F485" s="1"/>
      <c r="G485" s="1"/>
      <c r="H485" s="1"/>
      <c r="J485" s="1"/>
      <c r="K485" s="1"/>
      <c r="L485" s="1"/>
      <c r="M485" s="1"/>
      <c r="N485" s="1"/>
      <c r="O485" s="1"/>
      <c r="P485" s="1"/>
    </row>
    <row r="486" spans="1:16" ht="15.75" customHeight="1">
      <c r="A486" s="1"/>
      <c r="C486" s="1"/>
      <c r="D486" s="1"/>
      <c r="E486" s="1"/>
      <c r="F486" s="1"/>
      <c r="G486" s="1"/>
      <c r="H486" s="1"/>
      <c r="J486" s="1"/>
      <c r="K486" s="1"/>
      <c r="L486" s="1"/>
      <c r="M486" s="1"/>
      <c r="N486" s="1"/>
      <c r="O486" s="1"/>
      <c r="P486" s="1"/>
    </row>
    <row r="487" spans="1:16" ht="15.75" customHeight="1">
      <c r="A487" s="1"/>
      <c r="C487" s="1"/>
      <c r="D487" s="1"/>
      <c r="E487" s="1"/>
      <c r="F487" s="1"/>
      <c r="G487" s="1"/>
      <c r="H487" s="1"/>
      <c r="J487" s="1"/>
      <c r="K487" s="1"/>
      <c r="L487" s="1"/>
      <c r="M487" s="1"/>
      <c r="N487" s="1"/>
      <c r="O487" s="1"/>
      <c r="P487" s="1"/>
    </row>
    <row r="488" spans="1:16" ht="15.75" customHeight="1">
      <c r="A488" s="1"/>
      <c r="C488" s="1"/>
      <c r="D488" s="1"/>
      <c r="E488" s="1"/>
      <c r="F488" s="1"/>
      <c r="G488" s="1"/>
      <c r="H488" s="1"/>
      <c r="J488" s="1"/>
      <c r="K488" s="1"/>
      <c r="L488" s="1"/>
      <c r="M488" s="1"/>
      <c r="N488" s="1"/>
      <c r="O488" s="1"/>
      <c r="P488" s="1"/>
    </row>
    <row r="489" spans="1:16" ht="15.75" customHeight="1">
      <c r="A489" s="1"/>
      <c r="C489" s="1"/>
      <c r="D489" s="1"/>
      <c r="E489" s="1"/>
      <c r="F489" s="1"/>
      <c r="G489" s="1"/>
      <c r="H489" s="1"/>
      <c r="J489" s="1"/>
      <c r="K489" s="1"/>
      <c r="L489" s="1"/>
      <c r="M489" s="1"/>
      <c r="N489" s="1"/>
      <c r="O489" s="1"/>
      <c r="P489" s="1"/>
    </row>
    <row r="490" spans="1:16" ht="15.75" customHeight="1">
      <c r="A490" s="1"/>
      <c r="C490" s="1"/>
      <c r="D490" s="1"/>
      <c r="E490" s="1"/>
      <c r="F490" s="1"/>
      <c r="G490" s="1"/>
      <c r="H490" s="1"/>
      <c r="J490" s="1"/>
      <c r="K490" s="1"/>
      <c r="L490" s="1"/>
      <c r="M490" s="1"/>
      <c r="N490" s="1"/>
      <c r="O490" s="1"/>
      <c r="P490" s="1"/>
    </row>
    <row r="491" spans="1:16" ht="15.75" customHeight="1">
      <c r="A491" s="1"/>
      <c r="C491" s="1"/>
      <c r="D491" s="1"/>
      <c r="E491" s="1"/>
      <c r="F491" s="1"/>
      <c r="G491" s="1"/>
      <c r="H491" s="1"/>
      <c r="J491" s="1"/>
      <c r="K491" s="1"/>
      <c r="L491" s="1"/>
      <c r="M491" s="1"/>
      <c r="N491" s="1"/>
      <c r="O491" s="1"/>
      <c r="P491" s="1"/>
    </row>
    <row r="492" spans="1:16" ht="15.75" customHeight="1">
      <c r="A492" s="1"/>
      <c r="C492" s="1"/>
      <c r="D492" s="1"/>
      <c r="E492" s="1"/>
      <c r="F492" s="1"/>
      <c r="G492" s="1"/>
      <c r="H492" s="1"/>
      <c r="J492" s="1"/>
      <c r="K492" s="1"/>
      <c r="L492" s="1"/>
      <c r="M492" s="1"/>
      <c r="N492" s="1"/>
      <c r="O492" s="1"/>
      <c r="P492" s="1"/>
    </row>
    <row r="493" spans="1:16" ht="15.75" customHeight="1">
      <c r="A493" s="1"/>
      <c r="C493" s="1"/>
      <c r="D493" s="1"/>
      <c r="E493" s="1"/>
      <c r="F493" s="1"/>
      <c r="G493" s="1"/>
      <c r="H493" s="1"/>
      <c r="J493" s="1"/>
      <c r="K493" s="1"/>
      <c r="L493" s="1"/>
      <c r="M493" s="1"/>
      <c r="N493" s="1"/>
      <c r="O493" s="1"/>
      <c r="P493" s="1"/>
    </row>
    <row r="494" spans="1:16" ht="15.75" customHeight="1">
      <c r="A494" s="1"/>
      <c r="C494" s="1"/>
      <c r="D494" s="1"/>
      <c r="E494" s="1"/>
      <c r="F494" s="1"/>
      <c r="G494" s="1"/>
      <c r="H494" s="1"/>
      <c r="J494" s="1"/>
      <c r="K494" s="1"/>
      <c r="L494" s="1"/>
      <c r="M494" s="1"/>
      <c r="N494" s="1"/>
      <c r="O494" s="1"/>
      <c r="P494" s="1"/>
    </row>
    <row r="495" spans="1:16" ht="15.75" customHeight="1">
      <c r="A495" s="1"/>
      <c r="C495" s="1"/>
      <c r="D495" s="1"/>
      <c r="E495" s="1"/>
      <c r="F495" s="1"/>
      <c r="G495" s="1"/>
      <c r="H495" s="1"/>
      <c r="J495" s="1"/>
      <c r="K495" s="1"/>
      <c r="L495" s="1"/>
      <c r="M495" s="1"/>
      <c r="N495" s="1"/>
      <c r="O495" s="1"/>
      <c r="P495" s="1"/>
    </row>
    <row r="496" spans="1:16" ht="15.75" customHeight="1">
      <c r="A496" s="1"/>
      <c r="C496" s="1"/>
      <c r="D496" s="1"/>
      <c r="E496" s="1"/>
      <c r="F496" s="1"/>
      <c r="G496" s="1"/>
      <c r="H496" s="1"/>
      <c r="J496" s="1"/>
      <c r="K496" s="1"/>
      <c r="L496" s="1"/>
      <c r="M496" s="1"/>
      <c r="N496" s="1"/>
      <c r="O496" s="1"/>
      <c r="P496" s="1"/>
    </row>
    <row r="497" spans="1:16" ht="15.75" customHeight="1">
      <c r="A497" s="1"/>
      <c r="C497" s="1"/>
      <c r="D497" s="1"/>
      <c r="E497" s="1"/>
      <c r="F497" s="1"/>
      <c r="G497" s="1"/>
      <c r="H497" s="1"/>
      <c r="J497" s="1"/>
      <c r="K497" s="1"/>
      <c r="L497" s="1"/>
      <c r="M497" s="1"/>
      <c r="N497" s="1"/>
      <c r="O497" s="1"/>
      <c r="P497" s="1"/>
    </row>
    <row r="498" spans="1:16" ht="15.75" customHeight="1">
      <c r="A498" s="1"/>
      <c r="C498" s="1"/>
      <c r="D498" s="1"/>
      <c r="E498" s="1"/>
      <c r="F498" s="1"/>
      <c r="G498" s="1"/>
      <c r="H498" s="1"/>
      <c r="J498" s="1"/>
      <c r="K498" s="1"/>
      <c r="L498" s="1"/>
      <c r="M498" s="1"/>
      <c r="N498" s="1"/>
      <c r="O498" s="1"/>
      <c r="P498" s="1"/>
    </row>
    <row r="499" spans="1:16" ht="15.75" customHeight="1">
      <c r="A499" s="1"/>
      <c r="C499" s="1"/>
      <c r="D499" s="1"/>
      <c r="E499" s="1"/>
      <c r="F499" s="1"/>
      <c r="G499" s="1"/>
      <c r="H499" s="1"/>
      <c r="J499" s="1"/>
      <c r="K499" s="1"/>
      <c r="L499" s="1"/>
      <c r="M499" s="1"/>
      <c r="N499" s="1"/>
      <c r="O499" s="1"/>
      <c r="P499" s="1"/>
    </row>
    <row r="500" spans="1:16" ht="15.75" customHeight="1">
      <c r="A500" s="1"/>
      <c r="C500" s="1"/>
      <c r="D500" s="1"/>
      <c r="E500" s="1"/>
      <c r="F500" s="1"/>
      <c r="G500" s="1"/>
      <c r="H500" s="1"/>
      <c r="J500" s="1"/>
      <c r="K500" s="1"/>
      <c r="L500" s="1"/>
      <c r="M500" s="1"/>
      <c r="N500" s="1"/>
      <c r="O500" s="1"/>
      <c r="P500" s="1"/>
    </row>
    <row r="501" spans="1:16" ht="15.75" customHeight="1">
      <c r="A501" s="1"/>
      <c r="C501" s="1"/>
      <c r="D501" s="1"/>
      <c r="E501" s="1"/>
      <c r="F501" s="1"/>
      <c r="G501" s="1"/>
      <c r="H501" s="1"/>
      <c r="J501" s="1"/>
      <c r="K501" s="1"/>
      <c r="L501" s="1"/>
      <c r="M501" s="1"/>
      <c r="N501" s="1"/>
      <c r="O501" s="1"/>
      <c r="P501" s="1"/>
    </row>
    <row r="502" spans="1:16" ht="15.75" customHeight="1">
      <c r="A502" s="1"/>
      <c r="C502" s="1"/>
      <c r="D502" s="1"/>
      <c r="E502" s="1"/>
      <c r="F502" s="1"/>
      <c r="G502" s="1"/>
      <c r="H502" s="1"/>
      <c r="J502" s="1"/>
      <c r="K502" s="1"/>
      <c r="L502" s="1"/>
      <c r="M502" s="1"/>
      <c r="N502" s="1"/>
      <c r="O502" s="1"/>
      <c r="P502" s="1"/>
    </row>
    <row r="503" spans="1:16" ht="15.75" customHeight="1">
      <c r="A503" s="1"/>
      <c r="C503" s="1"/>
      <c r="D503" s="1"/>
      <c r="E503" s="1"/>
      <c r="F503" s="1"/>
      <c r="G503" s="1"/>
      <c r="H503" s="1"/>
      <c r="J503" s="1"/>
      <c r="K503" s="1"/>
      <c r="L503" s="1"/>
      <c r="M503" s="1"/>
      <c r="N503" s="1"/>
      <c r="O503" s="1"/>
      <c r="P503" s="1"/>
    </row>
    <row r="504" spans="1:16" ht="15.75" customHeight="1">
      <c r="A504" s="1"/>
      <c r="C504" s="1"/>
      <c r="D504" s="1"/>
      <c r="E504" s="1"/>
      <c r="F504" s="1"/>
      <c r="G504" s="1"/>
      <c r="H504" s="1"/>
      <c r="J504" s="1"/>
      <c r="K504" s="1"/>
      <c r="L504" s="1"/>
      <c r="M504" s="1"/>
      <c r="N504" s="1"/>
      <c r="O504" s="1"/>
      <c r="P504" s="1"/>
    </row>
    <row r="505" spans="1:16" ht="15.75" customHeight="1">
      <c r="A505" s="1"/>
      <c r="C505" s="1"/>
      <c r="D505" s="1"/>
      <c r="E505" s="1"/>
      <c r="F505" s="1"/>
      <c r="G505" s="1"/>
      <c r="H505" s="1"/>
      <c r="J505" s="1"/>
      <c r="K505" s="1"/>
      <c r="L505" s="1"/>
      <c r="M505" s="1"/>
      <c r="N505" s="1"/>
      <c r="O505" s="1"/>
      <c r="P505" s="1"/>
    </row>
    <row r="506" spans="1:16" ht="15.75" customHeight="1">
      <c r="A506" s="1"/>
      <c r="C506" s="1"/>
      <c r="D506" s="1"/>
      <c r="E506" s="1"/>
      <c r="F506" s="1"/>
      <c r="G506" s="1"/>
      <c r="H506" s="1"/>
      <c r="J506" s="1"/>
      <c r="K506" s="1"/>
      <c r="L506" s="1"/>
      <c r="M506" s="1"/>
      <c r="N506" s="1"/>
      <c r="O506" s="1"/>
      <c r="P506" s="1"/>
    </row>
    <row r="507" spans="1:16" ht="15.75" customHeight="1">
      <c r="A507" s="1"/>
      <c r="C507" s="1"/>
      <c r="D507" s="1"/>
      <c r="E507" s="1"/>
      <c r="F507" s="1"/>
      <c r="G507" s="1"/>
      <c r="H507" s="1"/>
      <c r="J507" s="1"/>
      <c r="K507" s="1"/>
      <c r="L507" s="1"/>
      <c r="M507" s="1"/>
      <c r="N507" s="1"/>
      <c r="O507" s="1"/>
      <c r="P507" s="1"/>
    </row>
    <row r="508" spans="1:16" ht="15.75" customHeight="1">
      <c r="A508" s="1"/>
      <c r="C508" s="1"/>
      <c r="D508" s="1"/>
      <c r="E508" s="1"/>
      <c r="F508" s="1"/>
      <c r="G508" s="1"/>
      <c r="H508" s="1"/>
      <c r="J508" s="1"/>
      <c r="K508" s="1"/>
      <c r="L508" s="1"/>
      <c r="M508" s="1"/>
      <c r="N508" s="1"/>
      <c r="O508" s="1"/>
      <c r="P508" s="1"/>
    </row>
    <row r="509" spans="1:16" ht="15.75" customHeight="1">
      <c r="A509" s="1"/>
      <c r="C509" s="1"/>
      <c r="D509" s="1"/>
      <c r="E509" s="1"/>
      <c r="F509" s="1"/>
      <c r="G509" s="1"/>
      <c r="H509" s="1"/>
      <c r="J509" s="1"/>
      <c r="K509" s="1"/>
      <c r="L509" s="1"/>
      <c r="M509" s="1"/>
      <c r="N509" s="1"/>
      <c r="O509" s="1"/>
      <c r="P509" s="1"/>
    </row>
    <row r="510" spans="1:16" ht="15.75" customHeight="1">
      <c r="A510" s="1"/>
      <c r="C510" s="1"/>
      <c r="D510" s="1"/>
      <c r="E510" s="1"/>
      <c r="F510" s="1"/>
      <c r="G510" s="1"/>
      <c r="H510" s="1"/>
      <c r="J510" s="1"/>
      <c r="K510" s="1"/>
      <c r="L510" s="1"/>
      <c r="M510" s="1"/>
      <c r="N510" s="1"/>
      <c r="O510" s="1"/>
      <c r="P510" s="1"/>
    </row>
    <row r="511" spans="1:16" ht="15.75" customHeight="1">
      <c r="A511" s="1"/>
      <c r="C511" s="1"/>
      <c r="D511" s="1"/>
      <c r="E511" s="1"/>
      <c r="F511" s="1"/>
      <c r="G511" s="1"/>
      <c r="H511" s="1"/>
      <c r="J511" s="1"/>
      <c r="K511" s="1"/>
      <c r="L511" s="1"/>
      <c r="M511" s="1"/>
      <c r="N511" s="1"/>
      <c r="O511" s="1"/>
      <c r="P511" s="1"/>
    </row>
    <row r="512" spans="1:16" ht="15.75" customHeight="1">
      <c r="A512" s="1"/>
      <c r="C512" s="1"/>
      <c r="D512" s="1"/>
      <c r="E512" s="1"/>
      <c r="F512" s="1"/>
      <c r="G512" s="1"/>
      <c r="H512" s="1"/>
      <c r="J512" s="1"/>
      <c r="K512" s="1"/>
      <c r="L512" s="1"/>
      <c r="M512" s="1"/>
      <c r="N512" s="1"/>
      <c r="O512" s="1"/>
      <c r="P512" s="1"/>
    </row>
    <row r="513" spans="1:16" ht="15.75" customHeight="1">
      <c r="A513" s="1"/>
      <c r="C513" s="1"/>
      <c r="D513" s="1"/>
      <c r="E513" s="1"/>
      <c r="F513" s="1"/>
      <c r="G513" s="1"/>
      <c r="H513" s="1"/>
      <c r="J513" s="1"/>
      <c r="K513" s="1"/>
      <c r="L513" s="1"/>
      <c r="M513" s="1"/>
      <c r="N513" s="1"/>
      <c r="O513" s="1"/>
      <c r="P513" s="1"/>
    </row>
    <row r="514" spans="1:16" ht="15.75" customHeight="1">
      <c r="A514" s="1"/>
      <c r="C514" s="1"/>
      <c r="D514" s="1"/>
      <c r="E514" s="1"/>
      <c r="F514" s="1"/>
      <c r="G514" s="1"/>
      <c r="H514" s="1"/>
      <c r="J514" s="1"/>
      <c r="K514" s="1"/>
      <c r="L514" s="1"/>
      <c r="M514" s="1"/>
      <c r="N514" s="1"/>
      <c r="O514" s="1"/>
      <c r="P514" s="1"/>
    </row>
    <row r="515" spans="1:16" ht="15.75" customHeight="1">
      <c r="A515" s="1"/>
      <c r="C515" s="1"/>
      <c r="D515" s="1"/>
      <c r="E515" s="1"/>
      <c r="F515" s="1"/>
      <c r="G515" s="1"/>
      <c r="H515" s="1"/>
      <c r="J515" s="1"/>
      <c r="K515" s="1"/>
      <c r="L515" s="1"/>
      <c r="M515" s="1"/>
      <c r="N515" s="1"/>
      <c r="O515" s="1"/>
      <c r="P515" s="1"/>
    </row>
    <row r="516" spans="1:16" ht="15.75" customHeight="1">
      <c r="A516" s="1"/>
      <c r="C516" s="1"/>
      <c r="D516" s="1"/>
      <c r="E516" s="1"/>
      <c r="F516" s="1"/>
      <c r="G516" s="1"/>
      <c r="H516" s="1"/>
      <c r="J516" s="1"/>
      <c r="K516" s="1"/>
      <c r="L516" s="1"/>
      <c r="M516" s="1"/>
      <c r="N516" s="1"/>
      <c r="O516" s="1"/>
      <c r="P516" s="1"/>
    </row>
    <row r="517" spans="1:16" ht="15.75" customHeight="1">
      <c r="A517" s="1"/>
      <c r="C517" s="1"/>
      <c r="D517" s="1"/>
      <c r="E517" s="1"/>
      <c r="F517" s="1"/>
      <c r="G517" s="1"/>
      <c r="H517" s="1"/>
      <c r="J517" s="1"/>
      <c r="K517" s="1"/>
      <c r="L517" s="1"/>
      <c r="M517" s="1"/>
      <c r="N517" s="1"/>
      <c r="O517" s="1"/>
      <c r="P517" s="1"/>
    </row>
    <row r="518" spans="1:16" ht="15.75" customHeight="1">
      <c r="A518" s="1"/>
      <c r="C518" s="1"/>
      <c r="D518" s="1"/>
      <c r="E518" s="1"/>
      <c r="F518" s="1"/>
      <c r="G518" s="1"/>
      <c r="H518" s="1"/>
      <c r="J518" s="1"/>
      <c r="K518" s="1"/>
      <c r="L518" s="1"/>
      <c r="M518" s="1"/>
      <c r="N518" s="1"/>
      <c r="O518" s="1"/>
      <c r="P518" s="1"/>
    </row>
    <row r="519" spans="1:16" ht="15.75" customHeight="1">
      <c r="A519" s="1"/>
      <c r="C519" s="1"/>
      <c r="D519" s="1"/>
      <c r="E519" s="1"/>
      <c r="F519" s="1"/>
      <c r="G519" s="1"/>
      <c r="H519" s="1"/>
      <c r="J519" s="1"/>
      <c r="K519" s="1"/>
      <c r="L519" s="1"/>
      <c r="M519" s="1"/>
      <c r="N519" s="1"/>
      <c r="O519" s="1"/>
      <c r="P519" s="1"/>
    </row>
    <row r="520" spans="1:16" ht="15.75" customHeight="1">
      <c r="A520" s="1"/>
      <c r="C520" s="1"/>
      <c r="D520" s="1"/>
      <c r="E520" s="1"/>
      <c r="F520" s="1"/>
      <c r="G520" s="1"/>
      <c r="H520" s="1"/>
      <c r="J520" s="1"/>
      <c r="K520" s="1"/>
      <c r="L520" s="1"/>
      <c r="M520" s="1"/>
      <c r="N520" s="1"/>
      <c r="O520" s="1"/>
      <c r="P520" s="1"/>
    </row>
    <row r="521" spans="1:16" ht="15.75" customHeight="1">
      <c r="A521" s="1"/>
      <c r="C521" s="1"/>
      <c r="D521" s="1"/>
      <c r="E521" s="1"/>
      <c r="F521" s="1"/>
      <c r="G521" s="1"/>
      <c r="H521" s="1"/>
      <c r="J521" s="1"/>
      <c r="K521" s="1"/>
      <c r="L521" s="1"/>
      <c r="M521" s="1"/>
      <c r="N521" s="1"/>
      <c r="O521" s="1"/>
      <c r="P521" s="1"/>
    </row>
    <row r="522" spans="1:16" ht="15.75" customHeight="1">
      <c r="A522" s="1"/>
      <c r="C522" s="1"/>
      <c r="D522" s="1"/>
      <c r="E522" s="1"/>
      <c r="F522" s="1"/>
      <c r="G522" s="1"/>
      <c r="H522" s="1"/>
      <c r="J522" s="1"/>
      <c r="K522" s="1"/>
      <c r="L522" s="1"/>
      <c r="M522" s="1"/>
      <c r="N522" s="1"/>
      <c r="O522" s="1"/>
      <c r="P522" s="1"/>
    </row>
    <row r="523" spans="1:16" ht="15.75" customHeight="1">
      <c r="A523" s="1"/>
      <c r="C523" s="1"/>
      <c r="D523" s="1"/>
      <c r="E523" s="1"/>
      <c r="F523" s="1"/>
      <c r="G523" s="1"/>
      <c r="H523" s="1"/>
      <c r="J523" s="1"/>
      <c r="K523" s="1"/>
      <c r="L523" s="1"/>
      <c r="M523" s="1"/>
      <c r="N523" s="1"/>
      <c r="O523" s="1"/>
      <c r="P523" s="1"/>
    </row>
    <row r="524" spans="1:16" ht="15.75" customHeight="1">
      <c r="A524" s="1"/>
      <c r="C524" s="1"/>
      <c r="D524" s="1"/>
      <c r="E524" s="1"/>
      <c r="F524" s="1"/>
      <c r="G524" s="1"/>
      <c r="H524" s="1"/>
      <c r="J524" s="1"/>
      <c r="K524" s="1"/>
      <c r="L524" s="1"/>
      <c r="M524" s="1"/>
      <c r="N524" s="1"/>
      <c r="O524" s="1"/>
      <c r="P524" s="1"/>
    </row>
    <row r="525" spans="1:16" ht="15.75" customHeight="1">
      <c r="A525" s="1"/>
      <c r="C525" s="1"/>
      <c r="D525" s="1"/>
      <c r="E525" s="1"/>
      <c r="F525" s="1"/>
      <c r="G525" s="1"/>
      <c r="H525" s="1"/>
      <c r="J525" s="1"/>
      <c r="K525" s="1"/>
      <c r="L525" s="1"/>
      <c r="M525" s="1"/>
      <c r="N525" s="1"/>
      <c r="O525" s="1"/>
      <c r="P525" s="1"/>
    </row>
    <row r="526" spans="1:16" ht="15.75" customHeight="1">
      <c r="A526" s="1"/>
      <c r="C526" s="1"/>
      <c r="D526" s="1"/>
      <c r="E526" s="1"/>
      <c r="F526" s="1"/>
      <c r="G526" s="1"/>
      <c r="H526" s="1"/>
      <c r="J526" s="1"/>
      <c r="K526" s="1"/>
      <c r="L526" s="1"/>
      <c r="M526" s="1"/>
      <c r="N526" s="1"/>
      <c r="O526" s="1"/>
      <c r="P526" s="1"/>
    </row>
    <row r="527" spans="1:16" ht="15.75" customHeight="1">
      <c r="A527" s="1"/>
      <c r="C527" s="1"/>
      <c r="D527" s="1"/>
      <c r="E527" s="1"/>
      <c r="F527" s="1"/>
      <c r="G527" s="1"/>
      <c r="H527" s="1"/>
      <c r="J527" s="1"/>
      <c r="K527" s="1"/>
      <c r="L527" s="1"/>
      <c r="M527" s="1"/>
      <c r="N527" s="1"/>
      <c r="O527" s="1"/>
      <c r="P527" s="1"/>
    </row>
    <row r="528" spans="1:16" ht="15.75" customHeight="1">
      <c r="A528" s="1"/>
      <c r="C528" s="1"/>
      <c r="D528" s="1"/>
      <c r="E528" s="1"/>
      <c r="F528" s="1"/>
      <c r="G528" s="1"/>
      <c r="H528" s="1"/>
      <c r="J528" s="1"/>
      <c r="K528" s="1"/>
      <c r="L528" s="1"/>
      <c r="M528" s="1"/>
      <c r="N528" s="1"/>
      <c r="O528" s="1"/>
      <c r="P528" s="1"/>
    </row>
    <row r="529" spans="1:16" ht="15.75" customHeight="1">
      <c r="A529" s="1"/>
      <c r="C529" s="1"/>
      <c r="D529" s="1"/>
      <c r="E529" s="1"/>
      <c r="F529" s="1"/>
      <c r="G529" s="1"/>
      <c r="H529" s="1"/>
      <c r="J529" s="1"/>
      <c r="K529" s="1"/>
      <c r="L529" s="1"/>
      <c r="M529" s="1"/>
      <c r="N529" s="1"/>
      <c r="O529" s="1"/>
      <c r="P529" s="1"/>
    </row>
    <row r="530" spans="1:16" ht="15.75" customHeight="1">
      <c r="A530" s="1"/>
      <c r="C530" s="1"/>
      <c r="D530" s="1"/>
      <c r="E530" s="1"/>
      <c r="F530" s="1"/>
      <c r="G530" s="1"/>
      <c r="H530" s="1"/>
      <c r="J530" s="1"/>
      <c r="K530" s="1"/>
      <c r="L530" s="1"/>
      <c r="M530" s="1"/>
      <c r="N530" s="1"/>
      <c r="O530" s="1"/>
      <c r="P530" s="1"/>
    </row>
    <row r="531" spans="1:16" ht="15.75" customHeight="1">
      <c r="A531" s="1"/>
      <c r="C531" s="1"/>
      <c r="D531" s="1"/>
      <c r="E531" s="1"/>
      <c r="F531" s="1"/>
      <c r="G531" s="1"/>
      <c r="H531" s="1"/>
      <c r="J531" s="1"/>
      <c r="K531" s="1"/>
      <c r="L531" s="1"/>
      <c r="M531" s="1"/>
      <c r="N531" s="1"/>
      <c r="O531" s="1"/>
      <c r="P531" s="1"/>
    </row>
    <row r="532" spans="1:16" ht="15.75" customHeight="1">
      <c r="A532" s="1"/>
      <c r="C532" s="1"/>
      <c r="D532" s="1"/>
      <c r="E532" s="1"/>
      <c r="F532" s="1"/>
      <c r="G532" s="1"/>
      <c r="H532" s="1"/>
      <c r="J532" s="1"/>
      <c r="K532" s="1"/>
      <c r="L532" s="1"/>
      <c r="M532" s="1"/>
      <c r="N532" s="1"/>
      <c r="O532" s="1"/>
      <c r="P532" s="1"/>
    </row>
    <row r="533" spans="1:16" ht="15.75" customHeight="1">
      <c r="A533" s="1"/>
      <c r="C533" s="1"/>
      <c r="D533" s="1"/>
      <c r="E533" s="1"/>
      <c r="F533" s="1"/>
      <c r="G533" s="1"/>
      <c r="H533" s="1"/>
      <c r="J533" s="1"/>
      <c r="K533" s="1"/>
      <c r="L533" s="1"/>
      <c r="M533" s="1"/>
      <c r="N533" s="1"/>
      <c r="O533" s="1"/>
      <c r="P533" s="1"/>
    </row>
    <row r="534" spans="1:16" ht="15.75" customHeight="1">
      <c r="A534" s="1"/>
      <c r="C534" s="1"/>
      <c r="D534" s="1"/>
      <c r="E534" s="1"/>
      <c r="F534" s="1"/>
      <c r="G534" s="1"/>
      <c r="H534" s="1"/>
      <c r="J534" s="1"/>
      <c r="K534" s="1"/>
      <c r="L534" s="1"/>
      <c r="M534" s="1"/>
      <c r="N534" s="1"/>
      <c r="O534" s="1"/>
      <c r="P534" s="1"/>
    </row>
    <row r="535" spans="1:16" ht="15.75" customHeight="1">
      <c r="A535" s="1"/>
      <c r="C535" s="1"/>
      <c r="D535" s="1"/>
      <c r="E535" s="1"/>
      <c r="F535" s="1"/>
      <c r="G535" s="1"/>
      <c r="H535" s="1"/>
      <c r="J535" s="1"/>
      <c r="K535" s="1"/>
      <c r="L535" s="1"/>
      <c r="M535" s="1"/>
      <c r="N535" s="1"/>
      <c r="O535" s="1"/>
      <c r="P535" s="1"/>
    </row>
    <row r="536" spans="1:16" ht="15.75" customHeight="1">
      <c r="A536" s="1"/>
      <c r="C536" s="1"/>
      <c r="D536" s="1"/>
      <c r="E536" s="1"/>
      <c r="F536" s="1"/>
      <c r="G536" s="1"/>
      <c r="H536" s="1"/>
      <c r="J536" s="1"/>
      <c r="K536" s="1"/>
      <c r="L536" s="1"/>
      <c r="M536" s="1"/>
      <c r="N536" s="1"/>
      <c r="O536" s="1"/>
      <c r="P536" s="1"/>
    </row>
    <row r="537" spans="1:16" ht="15.75" customHeight="1">
      <c r="A537" s="1"/>
      <c r="C537" s="1"/>
      <c r="D537" s="1"/>
      <c r="E537" s="1"/>
      <c r="F537" s="1"/>
      <c r="G537" s="1"/>
      <c r="H537" s="1"/>
      <c r="J537" s="1"/>
      <c r="K537" s="1"/>
      <c r="L537" s="1"/>
      <c r="M537" s="1"/>
      <c r="N537" s="1"/>
      <c r="O537" s="1"/>
      <c r="P537" s="1"/>
    </row>
    <row r="538" spans="1:16" ht="15.75" customHeight="1">
      <c r="A538" s="1"/>
      <c r="C538" s="1"/>
      <c r="D538" s="1"/>
      <c r="E538" s="1"/>
      <c r="F538" s="1"/>
      <c r="G538" s="1"/>
      <c r="H538" s="1"/>
      <c r="J538" s="1"/>
      <c r="K538" s="1"/>
      <c r="L538" s="1"/>
      <c r="M538" s="1"/>
      <c r="N538" s="1"/>
      <c r="O538" s="1"/>
      <c r="P538" s="1"/>
    </row>
    <row r="539" spans="1:16" ht="15.75" customHeight="1">
      <c r="A539" s="1"/>
      <c r="C539" s="1"/>
      <c r="D539" s="1"/>
      <c r="E539" s="1"/>
      <c r="F539" s="1"/>
      <c r="G539" s="1"/>
      <c r="H539" s="1"/>
      <c r="J539" s="1"/>
      <c r="K539" s="1"/>
      <c r="L539" s="1"/>
      <c r="M539" s="1"/>
      <c r="N539" s="1"/>
      <c r="O539" s="1"/>
      <c r="P539" s="1"/>
    </row>
    <row r="540" spans="1:16" ht="15.75" customHeight="1">
      <c r="A540" s="1"/>
      <c r="C540" s="1"/>
      <c r="D540" s="1"/>
      <c r="E540" s="1"/>
      <c r="F540" s="1"/>
      <c r="G540" s="1"/>
      <c r="H540" s="1"/>
      <c r="J540" s="1"/>
      <c r="K540" s="1"/>
      <c r="L540" s="1"/>
      <c r="M540" s="1"/>
      <c r="N540" s="1"/>
      <c r="O540" s="1"/>
      <c r="P540" s="1"/>
    </row>
    <row r="541" spans="1:16" ht="15.75" customHeight="1">
      <c r="A541" s="1"/>
      <c r="C541" s="1"/>
      <c r="D541" s="1"/>
      <c r="E541" s="1"/>
      <c r="F541" s="1"/>
      <c r="G541" s="1"/>
      <c r="H541" s="1"/>
      <c r="J541" s="1"/>
      <c r="K541" s="1"/>
      <c r="L541" s="1"/>
      <c r="M541" s="1"/>
      <c r="N541" s="1"/>
      <c r="O541" s="1"/>
      <c r="P541" s="1"/>
    </row>
    <row r="542" spans="1:16" ht="15.75" customHeight="1">
      <c r="A542" s="1"/>
      <c r="C542" s="1"/>
      <c r="D542" s="1"/>
      <c r="E542" s="1"/>
      <c r="F542" s="1"/>
      <c r="G542" s="1"/>
      <c r="H542" s="1"/>
      <c r="J542" s="1"/>
      <c r="K542" s="1"/>
      <c r="L542" s="1"/>
      <c r="M542" s="1"/>
      <c r="N542" s="1"/>
      <c r="O542" s="1"/>
      <c r="P542" s="1"/>
    </row>
    <row r="543" spans="1:16" ht="15.75" customHeight="1">
      <c r="A543" s="1"/>
      <c r="C543" s="1"/>
      <c r="D543" s="1"/>
      <c r="E543" s="1"/>
      <c r="F543" s="1"/>
      <c r="G543" s="1"/>
      <c r="H543" s="1"/>
      <c r="J543" s="1"/>
      <c r="K543" s="1"/>
      <c r="L543" s="1"/>
      <c r="M543" s="1"/>
      <c r="N543" s="1"/>
      <c r="O543" s="1"/>
      <c r="P543" s="1"/>
    </row>
    <row r="544" spans="1:16" ht="15.75" customHeight="1">
      <c r="A544" s="1"/>
      <c r="C544" s="1"/>
      <c r="D544" s="1"/>
      <c r="E544" s="1"/>
      <c r="F544" s="1"/>
      <c r="G544" s="1"/>
      <c r="H544" s="1"/>
      <c r="J544" s="1"/>
      <c r="K544" s="1"/>
      <c r="L544" s="1"/>
      <c r="M544" s="1"/>
      <c r="N544" s="1"/>
      <c r="O544" s="1"/>
      <c r="P544" s="1"/>
    </row>
    <row r="545" spans="1:16" ht="15.75" customHeight="1">
      <c r="A545" s="1"/>
      <c r="C545" s="1"/>
      <c r="D545" s="1"/>
      <c r="E545" s="1"/>
      <c r="F545" s="1"/>
      <c r="G545" s="1"/>
      <c r="H545" s="1"/>
      <c r="J545" s="1"/>
      <c r="K545" s="1"/>
      <c r="L545" s="1"/>
      <c r="M545" s="1"/>
      <c r="N545" s="1"/>
      <c r="O545" s="1"/>
      <c r="P545" s="1"/>
    </row>
    <row r="546" spans="1:16" ht="15.75" customHeight="1">
      <c r="A546" s="1"/>
      <c r="C546" s="1"/>
      <c r="D546" s="1"/>
      <c r="E546" s="1"/>
      <c r="F546" s="1"/>
      <c r="G546" s="1"/>
      <c r="H546" s="1"/>
      <c r="J546" s="1"/>
      <c r="K546" s="1"/>
      <c r="L546" s="1"/>
      <c r="M546" s="1"/>
      <c r="N546" s="1"/>
      <c r="O546" s="1"/>
      <c r="P546" s="1"/>
    </row>
    <row r="547" spans="1:16" ht="15.75" customHeight="1">
      <c r="A547" s="1"/>
      <c r="C547" s="1"/>
      <c r="D547" s="1"/>
      <c r="E547" s="1"/>
      <c r="F547" s="1"/>
      <c r="G547" s="1"/>
      <c r="H547" s="1"/>
      <c r="J547" s="1"/>
      <c r="K547" s="1"/>
      <c r="L547" s="1"/>
      <c r="M547" s="1"/>
      <c r="N547" s="1"/>
      <c r="O547" s="1"/>
      <c r="P547" s="1"/>
    </row>
    <row r="548" spans="1:16" ht="15.75" customHeight="1">
      <c r="A548" s="1"/>
      <c r="C548" s="1"/>
      <c r="D548" s="1"/>
      <c r="E548" s="1"/>
      <c r="F548" s="1"/>
      <c r="G548" s="1"/>
      <c r="H548" s="1"/>
      <c r="J548" s="1"/>
      <c r="K548" s="1"/>
      <c r="L548" s="1"/>
      <c r="M548" s="1"/>
      <c r="N548" s="1"/>
      <c r="O548" s="1"/>
      <c r="P548" s="1"/>
    </row>
    <row r="549" spans="1:16" ht="15.75" customHeight="1">
      <c r="A549" s="1"/>
      <c r="C549" s="1"/>
      <c r="D549" s="1"/>
      <c r="E549" s="1"/>
      <c r="F549" s="1"/>
      <c r="G549" s="1"/>
      <c r="H549" s="1"/>
      <c r="J549" s="1"/>
      <c r="K549" s="1"/>
      <c r="L549" s="1"/>
      <c r="M549" s="1"/>
      <c r="N549" s="1"/>
      <c r="O549" s="1"/>
      <c r="P549" s="1"/>
    </row>
    <row r="550" spans="1:16" ht="15.75" customHeight="1">
      <c r="A550" s="1"/>
      <c r="C550" s="1"/>
      <c r="D550" s="1"/>
      <c r="E550" s="1"/>
      <c r="F550" s="1"/>
      <c r="G550" s="1"/>
      <c r="H550" s="1"/>
      <c r="J550" s="1"/>
      <c r="K550" s="1"/>
      <c r="L550" s="1"/>
      <c r="M550" s="1"/>
      <c r="N550" s="1"/>
      <c r="O550" s="1"/>
      <c r="P550" s="1"/>
    </row>
    <row r="551" spans="1:16" ht="15.75" customHeight="1">
      <c r="A551" s="1"/>
      <c r="C551" s="1"/>
      <c r="D551" s="1"/>
      <c r="E551" s="1"/>
      <c r="F551" s="1"/>
      <c r="G551" s="1"/>
      <c r="H551" s="1"/>
      <c r="J551" s="1"/>
      <c r="K551" s="1"/>
      <c r="L551" s="1"/>
      <c r="M551" s="1"/>
      <c r="N551" s="1"/>
      <c r="O551" s="1"/>
      <c r="P551" s="1"/>
    </row>
    <row r="552" spans="1:16" ht="15.75" customHeight="1">
      <c r="A552" s="1"/>
      <c r="C552" s="1"/>
      <c r="D552" s="1"/>
      <c r="E552" s="1"/>
      <c r="F552" s="1"/>
      <c r="G552" s="1"/>
      <c r="H552" s="1"/>
      <c r="J552" s="1"/>
      <c r="K552" s="1"/>
      <c r="L552" s="1"/>
      <c r="M552" s="1"/>
      <c r="N552" s="1"/>
      <c r="O552" s="1"/>
      <c r="P552" s="1"/>
    </row>
    <row r="553" spans="1:16" ht="15.75" customHeight="1">
      <c r="A553" s="1"/>
      <c r="C553" s="1"/>
      <c r="D553" s="1"/>
      <c r="E553" s="1"/>
      <c r="F553" s="1"/>
      <c r="G553" s="1"/>
      <c r="H553" s="1"/>
      <c r="J553" s="1"/>
      <c r="K553" s="1"/>
      <c r="L553" s="1"/>
      <c r="M553" s="1"/>
      <c r="N553" s="1"/>
      <c r="O553" s="1"/>
      <c r="P553" s="1"/>
    </row>
    <row r="554" spans="1:16" ht="15.75" customHeight="1">
      <c r="A554" s="1"/>
      <c r="C554" s="1"/>
      <c r="D554" s="1"/>
      <c r="E554" s="1"/>
      <c r="F554" s="1"/>
      <c r="G554" s="1"/>
      <c r="H554" s="1"/>
      <c r="J554" s="1"/>
      <c r="K554" s="1"/>
      <c r="L554" s="1"/>
      <c r="M554" s="1"/>
      <c r="N554" s="1"/>
      <c r="O554" s="1"/>
      <c r="P554" s="1"/>
    </row>
    <row r="555" spans="1:16" ht="15.75" customHeight="1">
      <c r="A555" s="1"/>
      <c r="C555" s="1"/>
      <c r="D555" s="1"/>
      <c r="E555" s="1"/>
      <c r="F555" s="1"/>
      <c r="G555" s="1"/>
      <c r="H555" s="1"/>
      <c r="J555" s="1"/>
      <c r="K555" s="1"/>
      <c r="L555" s="1"/>
      <c r="M555" s="1"/>
      <c r="N555" s="1"/>
      <c r="O555" s="1"/>
      <c r="P555" s="1"/>
    </row>
    <row r="556" spans="1:16" ht="15.75" customHeight="1">
      <c r="A556" s="1"/>
      <c r="C556" s="1"/>
      <c r="D556" s="1"/>
      <c r="E556" s="1"/>
      <c r="F556" s="1"/>
      <c r="G556" s="1"/>
      <c r="H556" s="1"/>
      <c r="J556" s="1"/>
      <c r="K556" s="1"/>
      <c r="L556" s="1"/>
      <c r="M556" s="1"/>
      <c r="N556" s="1"/>
      <c r="O556" s="1"/>
      <c r="P556" s="1"/>
    </row>
    <row r="557" spans="1:16" ht="15.75" customHeight="1">
      <c r="A557" s="1"/>
      <c r="C557" s="1"/>
      <c r="D557" s="1"/>
      <c r="E557" s="1"/>
      <c r="F557" s="1"/>
      <c r="G557" s="1"/>
      <c r="H557" s="1"/>
      <c r="J557" s="1"/>
      <c r="K557" s="1"/>
      <c r="L557" s="1"/>
      <c r="M557" s="1"/>
      <c r="N557" s="1"/>
      <c r="O557" s="1"/>
      <c r="P557" s="1"/>
    </row>
    <row r="558" spans="1:16" ht="15.75" customHeight="1">
      <c r="A558" s="1"/>
      <c r="C558" s="1"/>
      <c r="D558" s="1"/>
      <c r="E558" s="1"/>
      <c r="F558" s="1"/>
      <c r="G558" s="1"/>
      <c r="H558" s="1"/>
      <c r="J558" s="1"/>
      <c r="K558" s="1"/>
      <c r="L558" s="1"/>
      <c r="M558" s="1"/>
      <c r="N558" s="1"/>
      <c r="O558" s="1"/>
      <c r="P558" s="1"/>
    </row>
    <row r="559" spans="1:16" ht="15.75" customHeight="1">
      <c r="A559" s="1"/>
      <c r="C559" s="1"/>
      <c r="D559" s="1"/>
      <c r="E559" s="1"/>
      <c r="F559" s="1"/>
      <c r="G559" s="1"/>
      <c r="H559" s="1"/>
      <c r="J559" s="1"/>
      <c r="K559" s="1"/>
      <c r="L559" s="1"/>
      <c r="M559" s="1"/>
      <c r="N559" s="1"/>
      <c r="O559" s="1"/>
      <c r="P559" s="1"/>
    </row>
    <row r="560" spans="1:16" ht="15.75" customHeight="1">
      <c r="A560" s="1"/>
      <c r="C560" s="1"/>
      <c r="D560" s="1"/>
      <c r="E560" s="1"/>
      <c r="F560" s="1"/>
      <c r="G560" s="1"/>
      <c r="H560" s="1"/>
      <c r="J560" s="1"/>
      <c r="K560" s="1"/>
      <c r="L560" s="1"/>
      <c r="M560" s="1"/>
      <c r="N560" s="1"/>
      <c r="O560" s="1"/>
      <c r="P560" s="1"/>
    </row>
    <row r="561" spans="1:16" ht="15.75" customHeight="1">
      <c r="A561" s="1"/>
      <c r="C561" s="1"/>
      <c r="D561" s="1"/>
      <c r="E561" s="1"/>
      <c r="F561" s="1"/>
      <c r="G561" s="1"/>
      <c r="H561" s="1"/>
      <c r="J561" s="1"/>
      <c r="K561" s="1"/>
      <c r="L561" s="1"/>
      <c r="M561" s="1"/>
      <c r="N561" s="1"/>
      <c r="O561" s="1"/>
      <c r="P561" s="1"/>
    </row>
    <row r="562" spans="1:16" ht="15.75" customHeight="1">
      <c r="A562" s="1"/>
      <c r="C562" s="1"/>
      <c r="D562" s="1"/>
      <c r="E562" s="1"/>
      <c r="F562" s="1"/>
      <c r="G562" s="1"/>
      <c r="H562" s="1"/>
      <c r="J562" s="1"/>
      <c r="K562" s="1"/>
      <c r="L562" s="1"/>
      <c r="M562" s="1"/>
      <c r="N562" s="1"/>
      <c r="O562" s="1"/>
      <c r="P562" s="1"/>
    </row>
    <row r="563" spans="1:16" ht="15.75" customHeight="1">
      <c r="A563" s="1"/>
      <c r="C563" s="1"/>
      <c r="D563" s="1"/>
      <c r="E563" s="1"/>
      <c r="F563" s="1"/>
      <c r="G563" s="1"/>
      <c r="H563" s="1"/>
      <c r="J563" s="1"/>
      <c r="K563" s="1"/>
      <c r="L563" s="1"/>
      <c r="M563" s="1"/>
      <c r="N563" s="1"/>
      <c r="O563" s="1"/>
      <c r="P563" s="1"/>
    </row>
    <row r="564" spans="1:16" ht="15.75" customHeight="1">
      <c r="A564" s="1"/>
      <c r="C564" s="1"/>
      <c r="D564" s="1"/>
      <c r="E564" s="1"/>
      <c r="F564" s="1"/>
      <c r="G564" s="1"/>
      <c r="H564" s="1"/>
      <c r="J564" s="1"/>
      <c r="K564" s="1"/>
      <c r="L564" s="1"/>
      <c r="M564" s="1"/>
      <c r="N564" s="1"/>
      <c r="O564" s="1"/>
      <c r="P564" s="1"/>
    </row>
    <row r="565" spans="1:16" ht="15.75" customHeight="1">
      <c r="A565" s="1"/>
      <c r="C565" s="1"/>
      <c r="D565" s="1"/>
      <c r="E565" s="1"/>
      <c r="F565" s="1"/>
      <c r="G565" s="1"/>
      <c r="H565" s="1"/>
      <c r="J565" s="1"/>
      <c r="K565" s="1"/>
      <c r="L565" s="1"/>
      <c r="M565" s="1"/>
      <c r="N565" s="1"/>
      <c r="O565" s="1"/>
      <c r="P565" s="1"/>
    </row>
    <row r="566" spans="1:16" ht="15.75" customHeight="1">
      <c r="A566" s="1"/>
      <c r="C566" s="1"/>
      <c r="D566" s="1"/>
      <c r="E566" s="1"/>
      <c r="F566" s="1"/>
      <c r="G566" s="1"/>
      <c r="H566" s="1"/>
      <c r="J566" s="1"/>
      <c r="K566" s="1"/>
      <c r="L566" s="1"/>
      <c r="M566" s="1"/>
      <c r="N566" s="1"/>
      <c r="O566" s="1"/>
      <c r="P566" s="1"/>
    </row>
    <row r="567" spans="1:16" ht="15.75" customHeight="1">
      <c r="A567" s="1"/>
      <c r="C567" s="1"/>
      <c r="D567" s="1"/>
      <c r="E567" s="1"/>
      <c r="F567" s="1"/>
      <c r="G567" s="1"/>
      <c r="H567" s="1"/>
      <c r="J567" s="1"/>
      <c r="K567" s="1"/>
      <c r="L567" s="1"/>
      <c r="M567" s="1"/>
      <c r="N567" s="1"/>
      <c r="O567" s="1"/>
      <c r="P567" s="1"/>
    </row>
    <row r="568" spans="1:16" ht="15.75" customHeight="1">
      <c r="A568" s="1"/>
      <c r="C568" s="1"/>
      <c r="D568" s="1"/>
      <c r="E568" s="1"/>
      <c r="F568" s="1"/>
      <c r="G568" s="1"/>
      <c r="H568" s="1"/>
      <c r="J568" s="1"/>
      <c r="K568" s="1"/>
      <c r="L568" s="1"/>
      <c r="M568" s="1"/>
      <c r="N568" s="1"/>
      <c r="O568" s="1"/>
      <c r="P568" s="1"/>
    </row>
    <row r="569" spans="1:16" ht="15.75" customHeight="1">
      <c r="A569" s="1"/>
      <c r="C569" s="1"/>
      <c r="D569" s="1"/>
      <c r="E569" s="1"/>
      <c r="F569" s="1"/>
      <c r="G569" s="1"/>
      <c r="H569" s="1"/>
      <c r="J569" s="1"/>
      <c r="K569" s="1"/>
      <c r="L569" s="1"/>
      <c r="M569" s="1"/>
      <c r="N569" s="1"/>
      <c r="O569" s="1"/>
      <c r="P569" s="1"/>
    </row>
    <row r="570" spans="1:16" ht="15.75" customHeight="1">
      <c r="A570" s="1"/>
      <c r="C570" s="1"/>
      <c r="D570" s="1"/>
      <c r="E570" s="1"/>
      <c r="F570" s="1"/>
      <c r="G570" s="1"/>
      <c r="H570" s="1"/>
      <c r="J570" s="1"/>
      <c r="K570" s="1"/>
      <c r="L570" s="1"/>
      <c r="M570" s="1"/>
      <c r="N570" s="1"/>
      <c r="O570" s="1"/>
      <c r="P570" s="1"/>
    </row>
    <row r="571" spans="1:16" ht="15.75" customHeight="1">
      <c r="A571" s="1"/>
      <c r="C571" s="1"/>
      <c r="D571" s="1"/>
      <c r="E571" s="1"/>
      <c r="F571" s="1"/>
      <c r="G571" s="1"/>
      <c r="H571" s="1"/>
      <c r="J571" s="1"/>
      <c r="K571" s="1"/>
      <c r="L571" s="1"/>
      <c r="M571" s="1"/>
      <c r="N571" s="1"/>
      <c r="O571" s="1"/>
      <c r="P571" s="1"/>
    </row>
    <row r="572" spans="1:16" ht="15.75" customHeight="1">
      <c r="A572" s="1"/>
      <c r="C572" s="1"/>
      <c r="D572" s="1"/>
      <c r="E572" s="1"/>
      <c r="F572" s="1"/>
      <c r="G572" s="1"/>
      <c r="H572" s="1"/>
      <c r="J572" s="1"/>
      <c r="K572" s="1"/>
      <c r="L572" s="1"/>
      <c r="M572" s="1"/>
      <c r="N572" s="1"/>
      <c r="O572" s="1"/>
      <c r="P572" s="1"/>
    </row>
    <row r="573" spans="1:16" ht="15.75" customHeight="1">
      <c r="A573" s="1"/>
      <c r="C573" s="1"/>
      <c r="D573" s="1"/>
      <c r="E573" s="1"/>
      <c r="F573" s="1"/>
      <c r="G573" s="1"/>
      <c r="H573" s="1"/>
      <c r="J573" s="1"/>
      <c r="K573" s="1"/>
      <c r="L573" s="1"/>
      <c r="M573" s="1"/>
      <c r="N573" s="1"/>
      <c r="O573" s="1"/>
      <c r="P573" s="1"/>
    </row>
    <row r="574" spans="1:16" ht="15.75" customHeight="1">
      <c r="A574" s="1"/>
      <c r="C574" s="1"/>
      <c r="D574" s="1"/>
      <c r="E574" s="1"/>
      <c r="F574" s="1"/>
      <c r="G574" s="1"/>
      <c r="H574" s="1"/>
      <c r="J574" s="1"/>
      <c r="K574" s="1"/>
      <c r="L574" s="1"/>
      <c r="M574" s="1"/>
      <c r="N574" s="1"/>
      <c r="O574" s="1"/>
      <c r="P574" s="1"/>
    </row>
    <row r="575" spans="1:16" ht="15.75" customHeight="1">
      <c r="A575" s="1"/>
      <c r="C575" s="1"/>
      <c r="D575" s="1"/>
      <c r="E575" s="1"/>
      <c r="F575" s="1"/>
      <c r="G575" s="1"/>
      <c r="H575" s="1"/>
      <c r="J575" s="1"/>
      <c r="K575" s="1"/>
      <c r="L575" s="1"/>
      <c r="M575" s="1"/>
      <c r="N575" s="1"/>
      <c r="O575" s="1"/>
      <c r="P575" s="1"/>
    </row>
    <row r="576" spans="1:16" ht="15.75" customHeight="1">
      <c r="A576" s="1"/>
      <c r="C576" s="1"/>
      <c r="D576" s="1"/>
      <c r="E576" s="1"/>
      <c r="F576" s="1"/>
      <c r="G576" s="1"/>
      <c r="H576" s="1"/>
      <c r="J576" s="1"/>
      <c r="K576" s="1"/>
      <c r="L576" s="1"/>
      <c r="M576" s="1"/>
      <c r="N576" s="1"/>
      <c r="O576" s="1"/>
      <c r="P576" s="1"/>
    </row>
    <row r="577" spans="1:16" ht="15.75" customHeight="1">
      <c r="A577" s="1"/>
      <c r="C577" s="1"/>
      <c r="D577" s="1"/>
      <c r="E577" s="1"/>
      <c r="F577" s="1"/>
      <c r="G577" s="1"/>
      <c r="H577" s="1"/>
      <c r="J577" s="1"/>
      <c r="K577" s="1"/>
      <c r="L577" s="1"/>
      <c r="M577" s="1"/>
      <c r="N577" s="1"/>
      <c r="O577" s="1"/>
      <c r="P577" s="1"/>
    </row>
    <row r="578" spans="1:16" ht="15.75" customHeight="1">
      <c r="A578" s="1"/>
      <c r="C578" s="1"/>
      <c r="D578" s="1"/>
      <c r="E578" s="1"/>
      <c r="F578" s="1"/>
      <c r="G578" s="1"/>
      <c r="H578" s="1"/>
      <c r="J578" s="1"/>
      <c r="K578" s="1"/>
      <c r="L578" s="1"/>
      <c r="M578" s="1"/>
      <c r="N578" s="1"/>
      <c r="O578" s="1"/>
      <c r="P578" s="1"/>
    </row>
    <row r="579" spans="1:16" ht="15.75" customHeight="1">
      <c r="A579" s="1"/>
      <c r="C579" s="1"/>
      <c r="D579" s="1"/>
      <c r="E579" s="1"/>
      <c r="F579" s="1"/>
      <c r="G579" s="1"/>
      <c r="H579" s="1"/>
      <c r="J579" s="1"/>
      <c r="K579" s="1"/>
      <c r="L579" s="1"/>
      <c r="M579" s="1"/>
      <c r="N579" s="1"/>
      <c r="O579" s="1"/>
      <c r="P579" s="1"/>
    </row>
    <row r="580" spans="1:16" ht="15.75" customHeight="1">
      <c r="A580" s="1"/>
      <c r="C580" s="1"/>
      <c r="D580" s="1"/>
      <c r="E580" s="1"/>
      <c r="F580" s="1"/>
      <c r="G580" s="1"/>
      <c r="H580" s="1"/>
      <c r="J580" s="1"/>
      <c r="K580" s="1"/>
      <c r="L580" s="1"/>
      <c r="M580" s="1"/>
      <c r="N580" s="1"/>
      <c r="O580" s="1"/>
      <c r="P580" s="1"/>
    </row>
    <row r="581" spans="1:16" ht="15.75" customHeight="1">
      <c r="A581" s="1"/>
      <c r="C581" s="1"/>
      <c r="D581" s="1"/>
      <c r="E581" s="1"/>
      <c r="F581" s="1"/>
      <c r="G581" s="1"/>
      <c r="H581" s="1"/>
      <c r="J581" s="1"/>
      <c r="K581" s="1"/>
      <c r="L581" s="1"/>
      <c r="M581" s="1"/>
      <c r="N581" s="1"/>
      <c r="O581" s="1"/>
      <c r="P581" s="1"/>
    </row>
    <row r="582" spans="1:16" ht="15.75" customHeight="1">
      <c r="A582" s="1"/>
      <c r="C582" s="1"/>
      <c r="D582" s="1"/>
      <c r="E582" s="1"/>
      <c r="F582" s="1"/>
      <c r="G582" s="1"/>
      <c r="H582" s="1"/>
      <c r="J582" s="1"/>
      <c r="K582" s="1"/>
      <c r="L582" s="1"/>
      <c r="M582" s="1"/>
      <c r="N582" s="1"/>
      <c r="O582" s="1"/>
      <c r="P582" s="1"/>
    </row>
    <row r="583" spans="1:16" ht="15.75" customHeight="1">
      <c r="A583" s="1"/>
      <c r="C583" s="1"/>
      <c r="D583" s="1"/>
      <c r="E583" s="1"/>
      <c r="F583" s="1"/>
      <c r="G583" s="1"/>
      <c r="H583" s="1"/>
      <c r="J583" s="1"/>
      <c r="K583" s="1"/>
      <c r="L583" s="1"/>
      <c r="M583" s="1"/>
      <c r="N583" s="1"/>
      <c r="O583" s="1"/>
      <c r="P583" s="1"/>
    </row>
    <row r="584" spans="1:16" ht="15.75" customHeight="1">
      <c r="A584" s="1"/>
      <c r="C584" s="1"/>
      <c r="D584" s="1"/>
      <c r="E584" s="1"/>
      <c r="F584" s="1"/>
      <c r="G584" s="1"/>
      <c r="H584" s="1"/>
      <c r="J584" s="1"/>
      <c r="K584" s="1"/>
      <c r="L584" s="1"/>
      <c r="M584" s="1"/>
      <c r="N584" s="1"/>
      <c r="O584" s="1"/>
      <c r="P584" s="1"/>
    </row>
    <row r="585" spans="1:16" ht="15.75" customHeight="1">
      <c r="A585" s="1"/>
      <c r="C585" s="1"/>
      <c r="D585" s="1"/>
      <c r="E585" s="1"/>
      <c r="F585" s="1"/>
      <c r="G585" s="1"/>
      <c r="H585" s="1"/>
      <c r="J585" s="1"/>
      <c r="K585" s="1"/>
      <c r="L585" s="1"/>
      <c r="M585" s="1"/>
      <c r="N585" s="1"/>
      <c r="O585" s="1"/>
      <c r="P585" s="1"/>
    </row>
    <row r="586" spans="1:16" ht="15.75" customHeight="1">
      <c r="A586" s="1"/>
      <c r="C586" s="1"/>
      <c r="D586" s="1"/>
      <c r="E586" s="1"/>
      <c r="F586" s="1"/>
      <c r="G586" s="1"/>
      <c r="H586" s="1"/>
      <c r="J586" s="1"/>
      <c r="K586" s="1"/>
      <c r="L586" s="1"/>
      <c r="M586" s="1"/>
      <c r="N586" s="1"/>
      <c r="O586" s="1"/>
      <c r="P586" s="1"/>
    </row>
    <row r="587" spans="1:16" ht="15.75" customHeight="1">
      <c r="A587" s="1"/>
      <c r="C587" s="1"/>
      <c r="D587" s="1"/>
      <c r="E587" s="1"/>
      <c r="F587" s="1"/>
      <c r="G587" s="1"/>
      <c r="H587" s="1"/>
      <c r="J587" s="1"/>
      <c r="K587" s="1"/>
      <c r="L587" s="1"/>
      <c r="M587" s="1"/>
      <c r="N587" s="1"/>
      <c r="O587" s="1"/>
      <c r="P587" s="1"/>
    </row>
    <row r="588" spans="1:16" ht="15.75" customHeight="1">
      <c r="A588" s="1"/>
      <c r="C588" s="1"/>
      <c r="D588" s="1"/>
      <c r="E588" s="1"/>
      <c r="F588" s="1"/>
      <c r="G588" s="1"/>
      <c r="H588" s="1"/>
      <c r="J588" s="1"/>
      <c r="K588" s="1"/>
      <c r="L588" s="1"/>
      <c r="M588" s="1"/>
      <c r="N588" s="1"/>
      <c r="O588" s="1"/>
      <c r="P588" s="1"/>
    </row>
    <row r="589" spans="1:16" ht="15.75" customHeight="1">
      <c r="A589" s="1"/>
      <c r="C589" s="1"/>
      <c r="D589" s="1"/>
      <c r="E589" s="1"/>
      <c r="F589" s="1"/>
      <c r="G589" s="1"/>
      <c r="H589" s="1"/>
      <c r="J589" s="1"/>
      <c r="K589" s="1"/>
      <c r="L589" s="1"/>
      <c r="M589" s="1"/>
      <c r="N589" s="1"/>
      <c r="O589" s="1"/>
      <c r="P589" s="1"/>
    </row>
    <row r="590" spans="1:16" ht="15.75" customHeight="1">
      <c r="A590" s="1"/>
      <c r="C590" s="1"/>
      <c r="D590" s="1"/>
      <c r="E590" s="1"/>
      <c r="F590" s="1"/>
      <c r="G590" s="1"/>
      <c r="H590" s="1"/>
      <c r="J590" s="1"/>
      <c r="K590" s="1"/>
      <c r="L590" s="1"/>
      <c r="M590" s="1"/>
      <c r="N590" s="1"/>
      <c r="O590" s="1"/>
      <c r="P590" s="1"/>
    </row>
    <row r="591" spans="1:16" ht="15.75" customHeight="1">
      <c r="A591" s="1"/>
      <c r="C591" s="1"/>
      <c r="D591" s="1"/>
      <c r="E591" s="1"/>
      <c r="F591" s="1"/>
      <c r="G591" s="1"/>
      <c r="H591" s="1"/>
      <c r="J591" s="1"/>
      <c r="K591" s="1"/>
      <c r="L591" s="1"/>
      <c r="M591" s="1"/>
      <c r="N591" s="1"/>
      <c r="O591" s="1"/>
      <c r="P591" s="1"/>
    </row>
    <row r="592" spans="1:16" ht="15.75" customHeight="1">
      <c r="A592" s="1"/>
      <c r="C592" s="1"/>
      <c r="D592" s="1"/>
      <c r="E592" s="1"/>
      <c r="F592" s="1"/>
      <c r="G592" s="1"/>
      <c r="H592" s="1"/>
      <c r="J592" s="1"/>
      <c r="K592" s="1"/>
      <c r="L592" s="1"/>
      <c r="M592" s="1"/>
      <c r="N592" s="1"/>
      <c r="O592" s="1"/>
      <c r="P592" s="1"/>
    </row>
    <row r="593" spans="1:16" ht="15.75" customHeight="1">
      <c r="A593" s="1"/>
      <c r="C593" s="1"/>
      <c r="D593" s="1"/>
      <c r="E593" s="1"/>
      <c r="F593" s="1"/>
      <c r="G593" s="1"/>
      <c r="H593" s="1"/>
      <c r="J593" s="1"/>
      <c r="K593" s="1"/>
      <c r="L593" s="1"/>
      <c r="M593" s="1"/>
      <c r="N593" s="1"/>
      <c r="O593" s="1"/>
      <c r="P593" s="1"/>
    </row>
    <row r="594" spans="1:16" ht="15.75" customHeight="1">
      <c r="A594" s="1"/>
      <c r="C594" s="1"/>
      <c r="D594" s="1"/>
      <c r="E594" s="1"/>
      <c r="F594" s="1"/>
      <c r="G594" s="1"/>
      <c r="H594" s="1"/>
      <c r="J594" s="1"/>
      <c r="K594" s="1"/>
      <c r="L594" s="1"/>
      <c r="M594" s="1"/>
      <c r="N594" s="1"/>
      <c r="O594" s="1"/>
      <c r="P594" s="1"/>
    </row>
    <row r="595" spans="1:16" ht="15.75" customHeight="1">
      <c r="A595" s="1"/>
      <c r="C595" s="1"/>
      <c r="D595" s="1"/>
      <c r="E595" s="1"/>
      <c r="F595" s="1"/>
      <c r="G595" s="1"/>
      <c r="H595" s="1"/>
      <c r="J595" s="1"/>
      <c r="K595" s="1"/>
      <c r="L595" s="1"/>
      <c r="M595" s="1"/>
      <c r="N595" s="1"/>
      <c r="O595" s="1"/>
      <c r="P595" s="1"/>
    </row>
    <row r="596" spans="1:16" ht="15.75" customHeight="1">
      <c r="A596" s="1"/>
      <c r="C596" s="1"/>
      <c r="D596" s="1"/>
      <c r="E596" s="1"/>
      <c r="F596" s="1"/>
      <c r="G596" s="1"/>
      <c r="H596" s="1"/>
      <c r="J596" s="1"/>
      <c r="K596" s="1"/>
      <c r="L596" s="1"/>
      <c r="M596" s="1"/>
      <c r="N596" s="1"/>
      <c r="O596" s="1"/>
      <c r="P596" s="1"/>
    </row>
    <row r="597" spans="1:16" ht="15.75" customHeight="1">
      <c r="A597" s="1"/>
      <c r="C597" s="1"/>
      <c r="D597" s="1"/>
      <c r="E597" s="1"/>
      <c r="F597" s="1"/>
      <c r="G597" s="1"/>
      <c r="H597" s="1"/>
      <c r="J597" s="1"/>
      <c r="K597" s="1"/>
      <c r="L597" s="1"/>
      <c r="M597" s="1"/>
      <c r="N597" s="1"/>
      <c r="O597" s="1"/>
      <c r="P597" s="1"/>
    </row>
    <row r="598" spans="1:16" ht="15.75" customHeight="1">
      <c r="A598" s="1"/>
      <c r="C598" s="1"/>
      <c r="D598" s="1"/>
      <c r="E598" s="1"/>
      <c r="F598" s="1"/>
      <c r="G598" s="1"/>
      <c r="H598" s="1"/>
      <c r="J598" s="1"/>
      <c r="K598" s="1"/>
      <c r="L598" s="1"/>
      <c r="M598" s="1"/>
      <c r="N598" s="1"/>
      <c r="O598" s="1"/>
      <c r="P598" s="1"/>
    </row>
    <row r="599" spans="1:16" ht="15.75" customHeight="1">
      <c r="A599" s="1"/>
      <c r="C599" s="1"/>
      <c r="D599" s="1"/>
      <c r="E599" s="1"/>
      <c r="F599" s="1"/>
      <c r="G599" s="1"/>
      <c r="H599" s="1"/>
      <c r="J599" s="1"/>
      <c r="K599" s="1"/>
      <c r="L599" s="1"/>
      <c r="M599" s="1"/>
      <c r="N599" s="1"/>
      <c r="O599" s="1"/>
      <c r="P599" s="1"/>
    </row>
    <row r="600" spans="1:16" ht="15.75" customHeight="1">
      <c r="A600" s="1"/>
      <c r="C600" s="1"/>
      <c r="D600" s="1"/>
      <c r="E600" s="1"/>
      <c r="F600" s="1"/>
      <c r="G600" s="1"/>
      <c r="H600" s="1"/>
      <c r="J600" s="1"/>
      <c r="K600" s="1"/>
      <c r="L600" s="1"/>
      <c r="M600" s="1"/>
      <c r="N600" s="1"/>
      <c r="O600" s="1"/>
      <c r="P600" s="1"/>
    </row>
    <row r="601" spans="1:16" ht="15.75" customHeight="1">
      <c r="A601" s="1"/>
      <c r="C601" s="1"/>
      <c r="D601" s="1"/>
      <c r="E601" s="1"/>
      <c r="F601" s="1"/>
      <c r="G601" s="1"/>
      <c r="H601" s="1"/>
      <c r="J601" s="1"/>
      <c r="K601" s="1"/>
      <c r="L601" s="1"/>
      <c r="M601" s="1"/>
      <c r="N601" s="1"/>
      <c r="O601" s="1"/>
      <c r="P601" s="1"/>
    </row>
    <row r="602" spans="1:16" ht="15.75" customHeight="1">
      <c r="A602" s="1"/>
      <c r="C602" s="1"/>
      <c r="D602" s="1"/>
      <c r="E602" s="1"/>
      <c r="F602" s="1"/>
      <c r="G602" s="1"/>
      <c r="H602" s="1"/>
      <c r="J602" s="1"/>
      <c r="K602" s="1"/>
      <c r="L602" s="1"/>
      <c r="M602" s="1"/>
      <c r="N602" s="1"/>
      <c r="O602" s="1"/>
      <c r="P602" s="1"/>
    </row>
    <row r="603" spans="1:16" ht="15.75" customHeight="1">
      <c r="A603" s="1"/>
      <c r="C603" s="1"/>
      <c r="D603" s="1"/>
      <c r="E603" s="1"/>
      <c r="F603" s="1"/>
      <c r="G603" s="1"/>
      <c r="H603" s="1"/>
      <c r="J603" s="1"/>
      <c r="K603" s="1"/>
      <c r="L603" s="1"/>
      <c r="M603" s="1"/>
      <c r="N603" s="1"/>
      <c r="O603" s="1"/>
      <c r="P603" s="1"/>
    </row>
    <row r="604" spans="1:16" ht="15.75" customHeight="1">
      <c r="A604" s="1"/>
      <c r="C604" s="1"/>
      <c r="D604" s="1"/>
      <c r="E604" s="1"/>
      <c r="F604" s="1"/>
      <c r="G604" s="1"/>
      <c r="H604" s="1"/>
      <c r="J604" s="1"/>
      <c r="K604" s="1"/>
      <c r="L604" s="1"/>
      <c r="M604" s="1"/>
      <c r="N604" s="1"/>
      <c r="O604" s="1"/>
      <c r="P604" s="1"/>
    </row>
    <row r="605" spans="1:16" ht="15.75" customHeight="1">
      <c r="A605" s="1"/>
      <c r="C605" s="1"/>
      <c r="D605" s="1"/>
      <c r="E605" s="1"/>
      <c r="F605" s="1"/>
      <c r="G605" s="1"/>
      <c r="H605" s="1"/>
      <c r="J605" s="1"/>
      <c r="K605" s="1"/>
      <c r="L605" s="1"/>
      <c r="M605" s="1"/>
      <c r="N605" s="1"/>
      <c r="O605" s="1"/>
      <c r="P605" s="1"/>
    </row>
    <row r="606" spans="1:16" ht="15.75" customHeight="1">
      <c r="A606" s="1"/>
      <c r="C606" s="1"/>
      <c r="D606" s="1"/>
      <c r="E606" s="1"/>
      <c r="F606" s="1"/>
      <c r="G606" s="1"/>
      <c r="H606" s="1"/>
      <c r="J606" s="1"/>
      <c r="K606" s="1"/>
      <c r="L606" s="1"/>
      <c r="M606" s="1"/>
      <c r="N606" s="1"/>
      <c r="O606" s="1"/>
      <c r="P606" s="1"/>
    </row>
    <row r="607" spans="1:16" ht="15.75" customHeight="1">
      <c r="A607" s="1"/>
      <c r="C607" s="1"/>
      <c r="D607" s="1"/>
      <c r="E607" s="1"/>
      <c r="F607" s="1"/>
      <c r="G607" s="1"/>
      <c r="H607" s="1"/>
      <c r="J607" s="1"/>
      <c r="K607" s="1"/>
      <c r="L607" s="1"/>
      <c r="M607" s="1"/>
      <c r="N607" s="1"/>
      <c r="O607" s="1"/>
      <c r="P607" s="1"/>
    </row>
    <row r="608" spans="1:16" ht="15.75" customHeight="1">
      <c r="A608" s="1"/>
      <c r="C608" s="1"/>
      <c r="D608" s="1"/>
      <c r="E608" s="1"/>
      <c r="F608" s="1"/>
      <c r="G608" s="1"/>
      <c r="H608" s="1"/>
      <c r="J608" s="1"/>
      <c r="K608" s="1"/>
      <c r="L608" s="1"/>
      <c r="M608" s="1"/>
      <c r="N608" s="1"/>
      <c r="O608" s="1"/>
      <c r="P608" s="1"/>
    </row>
    <row r="609" spans="1:16" ht="15.75" customHeight="1">
      <c r="A609" s="1"/>
      <c r="C609" s="1"/>
      <c r="D609" s="1"/>
      <c r="E609" s="1"/>
      <c r="F609" s="1"/>
      <c r="G609" s="1"/>
      <c r="H609" s="1"/>
      <c r="J609" s="1"/>
      <c r="K609" s="1"/>
      <c r="L609" s="1"/>
      <c r="M609" s="1"/>
      <c r="N609" s="1"/>
      <c r="O609" s="1"/>
      <c r="P609" s="1"/>
    </row>
    <row r="610" spans="1:16" ht="15.75" customHeight="1">
      <c r="A610" s="1"/>
      <c r="C610" s="1"/>
      <c r="D610" s="1"/>
      <c r="E610" s="1"/>
      <c r="F610" s="1"/>
      <c r="G610" s="1"/>
      <c r="H610" s="1"/>
      <c r="J610" s="1"/>
      <c r="K610" s="1"/>
      <c r="L610" s="1"/>
      <c r="M610" s="1"/>
      <c r="N610" s="1"/>
      <c r="O610" s="1"/>
      <c r="P610" s="1"/>
    </row>
    <row r="611" spans="1:16" ht="15.75" customHeight="1">
      <c r="A611" s="1"/>
      <c r="C611" s="1"/>
      <c r="D611" s="1"/>
      <c r="E611" s="1"/>
      <c r="F611" s="1"/>
      <c r="G611" s="1"/>
      <c r="H611" s="1"/>
      <c r="J611" s="1"/>
      <c r="K611" s="1"/>
      <c r="L611" s="1"/>
      <c r="M611" s="1"/>
      <c r="N611" s="1"/>
      <c r="O611" s="1"/>
      <c r="P611" s="1"/>
    </row>
    <row r="612" spans="1:16" ht="15.75" customHeight="1">
      <c r="A612" s="1"/>
      <c r="C612" s="1"/>
      <c r="D612" s="1"/>
      <c r="E612" s="1"/>
      <c r="F612" s="1"/>
      <c r="G612" s="1"/>
      <c r="H612" s="1"/>
      <c r="J612" s="1"/>
      <c r="K612" s="1"/>
      <c r="L612" s="1"/>
      <c r="M612" s="1"/>
      <c r="N612" s="1"/>
      <c r="O612" s="1"/>
      <c r="P612" s="1"/>
    </row>
    <row r="613" spans="1:16" ht="15.75" customHeight="1">
      <c r="A613" s="1"/>
      <c r="C613" s="1"/>
      <c r="D613" s="1"/>
      <c r="E613" s="1"/>
      <c r="F613" s="1"/>
      <c r="G613" s="1"/>
      <c r="H613" s="1"/>
      <c r="J613" s="1"/>
      <c r="K613" s="1"/>
      <c r="L613" s="1"/>
      <c r="M613" s="1"/>
      <c r="N613" s="1"/>
      <c r="O613" s="1"/>
      <c r="P613" s="1"/>
    </row>
    <row r="614" spans="1:16" ht="15.75" customHeight="1">
      <c r="A614" s="1"/>
      <c r="C614" s="1"/>
      <c r="D614" s="1"/>
      <c r="E614" s="1"/>
      <c r="F614" s="1"/>
      <c r="G614" s="1"/>
      <c r="H614" s="1"/>
      <c r="J614" s="1"/>
      <c r="K614" s="1"/>
      <c r="L614" s="1"/>
      <c r="M614" s="1"/>
      <c r="N614" s="1"/>
      <c r="O614" s="1"/>
      <c r="P614" s="1"/>
    </row>
    <row r="615" spans="1:16" ht="15.75" customHeight="1">
      <c r="A615" s="1"/>
      <c r="C615" s="1"/>
      <c r="D615" s="1"/>
      <c r="E615" s="1"/>
      <c r="F615" s="1"/>
      <c r="G615" s="1"/>
      <c r="H615" s="1"/>
      <c r="J615" s="1"/>
      <c r="K615" s="1"/>
      <c r="L615" s="1"/>
      <c r="M615" s="1"/>
      <c r="N615" s="1"/>
      <c r="O615" s="1"/>
      <c r="P615" s="1"/>
    </row>
    <row r="616" spans="1:16" ht="15.75" customHeight="1">
      <c r="A616" s="1"/>
      <c r="C616" s="1"/>
      <c r="D616" s="1"/>
      <c r="E616" s="1"/>
      <c r="F616" s="1"/>
      <c r="G616" s="1"/>
      <c r="H616" s="1"/>
      <c r="J616" s="1"/>
      <c r="K616" s="1"/>
      <c r="L616" s="1"/>
      <c r="M616" s="1"/>
      <c r="N616" s="1"/>
      <c r="O616" s="1"/>
      <c r="P616" s="1"/>
    </row>
    <row r="617" spans="1:16" ht="15.75" customHeight="1">
      <c r="A617" s="1"/>
      <c r="C617" s="1"/>
      <c r="D617" s="1"/>
      <c r="E617" s="1"/>
      <c r="F617" s="1"/>
      <c r="G617" s="1"/>
      <c r="H617" s="1"/>
      <c r="J617" s="1"/>
      <c r="K617" s="1"/>
      <c r="L617" s="1"/>
      <c r="M617" s="1"/>
      <c r="N617" s="1"/>
      <c r="O617" s="1"/>
      <c r="P617" s="1"/>
    </row>
    <row r="618" spans="1:16" ht="15.75" customHeight="1">
      <c r="A618" s="1"/>
      <c r="C618" s="1"/>
      <c r="D618" s="1"/>
      <c r="E618" s="1"/>
      <c r="F618" s="1"/>
      <c r="G618" s="1"/>
      <c r="H618" s="1"/>
      <c r="J618" s="1"/>
      <c r="K618" s="1"/>
      <c r="L618" s="1"/>
      <c r="M618" s="1"/>
      <c r="N618" s="1"/>
      <c r="O618" s="1"/>
      <c r="P618" s="1"/>
    </row>
    <row r="619" spans="1:16" ht="15.75" customHeight="1">
      <c r="A619" s="1"/>
      <c r="C619" s="1"/>
      <c r="D619" s="1"/>
      <c r="E619" s="1"/>
      <c r="F619" s="1"/>
      <c r="G619" s="1"/>
      <c r="H619" s="1"/>
      <c r="J619" s="1"/>
      <c r="K619" s="1"/>
      <c r="L619" s="1"/>
      <c r="M619" s="1"/>
      <c r="N619" s="1"/>
      <c r="O619" s="1"/>
      <c r="P619" s="1"/>
    </row>
    <row r="620" spans="1:16" ht="15.75" customHeight="1">
      <c r="A620" s="1"/>
      <c r="C620" s="1"/>
      <c r="D620" s="1"/>
      <c r="E620" s="1"/>
      <c r="F620" s="1"/>
      <c r="G620" s="1"/>
      <c r="H620" s="1"/>
      <c r="J620" s="1"/>
      <c r="K620" s="1"/>
      <c r="L620" s="1"/>
      <c r="M620" s="1"/>
      <c r="N620" s="1"/>
      <c r="O620" s="1"/>
      <c r="P620" s="1"/>
    </row>
    <row r="621" spans="1:16" ht="15.75" customHeight="1">
      <c r="A621" s="1"/>
      <c r="C621" s="1"/>
      <c r="D621" s="1"/>
      <c r="E621" s="1"/>
      <c r="F621" s="1"/>
      <c r="G621" s="1"/>
      <c r="H621" s="1"/>
      <c r="J621" s="1"/>
      <c r="K621" s="1"/>
      <c r="L621" s="1"/>
      <c r="M621" s="1"/>
      <c r="N621" s="1"/>
      <c r="O621" s="1"/>
      <c r="P621" s="1"/>
    </row>
    <row r="622" spans="1:16" ht="15.75" customHeight="1">
      <c r="A622" s="1"/>
      <c r="C622" s="1"/>
      <c r="D622" s="1"/>
      <c r="E622" s="1"/>
      <c r="F622" s="1"/>
      <c r="G622" s="1"/>
      <c r="H622" s="1"/>
      <c r="J622" s="1"/>
      <c r="K622" s="1"/>
      <c r="L622" s="1"/>
      <c r="M622" s="1"/>
      <c r="N622" s="1"/>
      <c r="O622" s="1"/>
      <c r="P622" s="1"/>
    </row>
    <row r="623" spans="1:16" ht="15.75" customHeight="1">
      <c r="A623" s="1"/>
      <c r="C623" s="1"/>
      <c r="D623" s="1"/>
      <c r="E623" s="1"/>
      <c r="F623" s="1"/>
      <c r="G623" s="1"/>
      <c r="H623" s="1"/>
      <c r="J623" s="1"/>
      <c r="K623" s="1"/>
      <c r="L623" s="1"/>
      <c r="M623" s="1"/>
      <c r="N623" s="1"/>
      <c r="O623" s="1"/>
      <c r="P623" s="1"/>
    </row>
    <row r="624" spans="1:16" ht="15.75" customHeight="1">
      <c r="A624" s="1"/>
      <c r="C624" s="1"/>
      <c r="D624" s="1"/>
      <c r="E624" s="1"/>
      <c r="F624" s="1"/>
      <c r="G624" s="1"/>
      <c r="H624" s="1"/>
      <c r="J624" s="1"/>
      <c r="K624" s="1"/>
      <c r="L624" s="1"/>
      <c r="M624" s="1"/>
      <c r="N624" s="1"/>
      <c r="O624" s="1"/>
      <c r="P624" s="1"/>
    </row>
    <row r="625" spans="1:16" ht="15.75" customHeight="1">
      <c r="A625" s="1"/>
      <c r="C625" s="1"/>
      <c r="D625" s="1"/>
      <c r="E625" s="1"/>
      <c r="F625" s="1"/>
      <c r="G625" s="1"/>
      <c r="H625" s="1"/>
      <c r="J625" s="1"/>
      <c r="K625" s="1"/>
      <c r="L625" s="1"/>
      <c r="M625" s="1"/>
      <c r="N625" s="1"/>
      <c r="O625" s="1"/>
      <c r="P625" s="1"/>
    </row>
    <row r="626" spans="1:16" ht="15.75" customHeight="1">
      <c r="A626" s="1"/>
      <c r="C626" s="1"/>
      <c r="D626" s="1"/>
      <c r="E626" s="1"/>
      <c r="F626" s="1"/>
      <c r="G626" s="1"/>
      <c r="H626" s="1"/>
      <c r="J626" s="1"/>
      <c r="K626" s="1"/>
      <c r="L626" s="1"/>
      <c r="M626" s="1"/>
      <c r="N626" s="1"/>
      <c r="O626" s="1"/>
      <c r="P626" s="1"/>
    </row>
    <row r="627" spans="1:16" ht="15.75" customHeight="1">
      <c r="A627" s="1"/>
      <c r="C627" s="1"/>
      <c r="D627" s="1"/>
      <c r="E627" s="1"/>
      <c r="F627" s="1"/>
      <c r="G627" s="1"/>
      <c r="H627" s="1"/>
      <c r="J627" s="1"/>
      <c r="K627" s="1"/>
      <c r="L627" s="1"/>
      <c r="M627" s="1"/>
      <c r="N627" s="1"/>
      <c r="O627" s="1"/>
      <c r="P627" s="1"/>
    </row>
    <row r="628" spans="1:16" ht="15.75" customHeight="1">
      <c r="A628" s="1"/>
      <c r="C628" s="1"/>
      <c r="D628" s="1"/>
      <c r="E628" s="1"/>
      <c r="F628" s="1"/>
      <c r="G628" s="1"/>
      <c r="H628" s="1"/>
      <c r="J628" s="1"/>
      <c r="K628" s="1"/>
      <c r="L628" s="1"/>
      <c r="M628" s="1"/>
      <c r="N628" s="1"/>
      <c r="O628" s="1"/>
      <c r="P628" s="1"/>
    </row>
    <row r="629" spans="1:16" ht="15.75" customHeight="1">
      <c r="A629" s="1"/>
      <c r="C629" s="1"/>
      <c r="D629" s="1"/>
      <c r="E629" s="1"/>
      <c r="F629" s="1"/>
      <c r="G629" s="1"/>
      <c r="H629" s="1"/>
      <c r="J629" s="1"/>
      <c r="K629" s="1"/>
      <c r="L629" s="1"/>
      <c r="M629" s="1"/>
      <c r="N629" s="1"/>
      <c r="O629" s="1"/>
      <c r="P629" s="1"/>
    </row>
    <row r="630" spans="1:16" ht="15.75" customHeight="1">
      <c r="A630" s="1"/>
      <c r="C630" s="1"/>
      <c r="D630" s="1"/>
      <c r="E630" s="1"/>
      <c r="F630" s="1"/>
      <c r="G630" s="1"/>
      <c r="H630" s="1"/>
      <c r="J630" s="1"/>
      <c r="K630" s="1"/>
      <c r="L630" s="1"/>
      <c r="M630" s="1"/>
      <c r="N630" s="1"/>
      <c r="O630" s="1"/>
      <c r="P630" s="1"/>
    </row>
    <row r="631" spans="1:16" ht="15.75" customHeight="1">
      <c r="A631" s="1"/>
      <c r="C631" s="1"/>
      <c r="D631" s="1"/>
      <c r="E631" s="1"/>
      <c r="F631" s="1"/>
      <c r="G631" s="1"/>
      <c r="H631" s="1"/>
      <c r="J631" s="1"/>
      <c r="K631" s="1"/>
      <c r="L631" s="1"/>
      <c r="M631" s="1"/>
      <c r="N631" s="1"/>
      <c r="O631" s="1"/>
      <c r="P631" s="1"/>
    </row>
    <row r="632" spans="1:16" ht="15.75" customHeight="1">
      <c r="A632" s="1"/>
      <c r="C632" s="1"/>
      <c r="D632" s="1"/>
      <c r="E632" s="1"/>
      <c r="F632" s="1"/>
      <c r="G632" s="1"/>
      <c r="H632" s="1"/>
      <c r="J632" s="1"/>
      <c r="K632" s="1"/>
      <c r="L632" s="1"/>
      <c r="M632" s="1"/>
      <c r="N632" s="1"/>
      <c r="O632" s="1"/>
      <c r="P632" s="1"/>
    </row>
    <row r="633" spans="1:16" ht="15.75" customHeight="1">
      <c r="A633" s="1"/>
      <c r="C633" s="1"/>
      <c r="D633" s="1"/>
      <c r="E633" s="1"/>
      <c r="F633" s="1"/>
      <c r="G633" s="1"/>
      <c r="H633" s="1"/>
      <c r="J633" s="1"/>
      <c r="K633" s="1"/>
      <c r="L633" s="1"/>
      <c r="M633" s="1"/>
      <c r="N633" s="1"/>
      <c r="O633" s="1"/>
      <c r="P633" s="1"/>
    </row>
    <row r="634" spans="1:16" ht="15.75" customHeight="1">
      <c r="A634" s="1"/>
      <c r="C634" s="1"/>
      <c r="D634" s="1"/>
      <c r="E634" s="1"/>
      <c r="F634" s="1"/>
      <c r="G634" s="1"/>
      <c r="H634" s="1"/>
      <c r="J634" s="1"/>
      <c r="K634" s="1"/>
      <c r="L634" s="1"/>
      <c r="M634" s="1"/>
      <c r="N634" s="1"/>
      <c r="O634" s="1"/>
      <c r="P634" s="1"/>
    </row>
    <row r="635" spans="1:16" ht="15.75" customHeight="1">
      <c r="A635" s="1"/>
      <c r="C635" s="1"/>
      <c r="D635" s="1"/>
      <c r="E635" s="1"/>
      <c r="F635" s="1"/>
      <c r="G635" s="1"/>
      <c r="H635" s="1"/>
      <c r="J635" s="1"/>
      <c r="K635" s="1"/>
      <c r="L635" s="1"/>
      <c r="M635" s="1"/>
      <c r="N635" s="1"/>
      <c r="O635" s="1"/>
      <c r="P635" s="1"/>
    </row>
    <row r="636" spans="1:16" ht="15.75" customHeight="1">
      <c r="A636" s="1"/>
      <c r="C636" s="1"/>
      <c r="D636" s="1"/>
      <c r="E636" s="1"/>
      <c r="F636" s="1"/>
      <c r="G636" s="1"/>
      <c r="H636" s="1"/>
      <c r="J636" s="1"/>
      <c r="K636" s="1"/>
      <c r="L636" s="1"/>
      <c r="M636" s="1"/>
      <c r="N636" s="1"/>
      <c r="O636" s="1"/>
      <c r="P636" s="1"/>
    </row>
    <row r="637" spans="1:16" ht="15.75" customHeight="1">
      <c r="A637" s="1"/>
      <c r="C637" s="1"/>
      <c r="D637" s="1"/>
      <c r="E637" s="1"/>
      <c r="F637" s="1"/>
      <c r="G637" s="1"/>
      <c r="H637" s="1"/>
      <c r="J637" s="1"/>
      <c r="K637" s="1"/>
      <c r="L637" s="1"/>
      <c r="M637" s="1"/>
      <c r="N637" s="1"/>
      <c r="O637" s="1"/>
      <c r="P637" s="1"/>
    </row>
    <row r="638" spans="1:16" ht="15.75" customHeight="1">
      <c r="A638" s="1"/>
      <c r="C638" s="1"/>
      <c r="D638" s="1"/>
      <c r="E638" s="1"/>
      <c r="F638" s="1"/>
      <c r="G638" s="1"/>
      <c r="H638" s="1"/>
      <c r="J638" s="1"/>
      <c r="K638" s="1"/>
      <c r="L638" s="1"/>
      <c r="M638" s="1"/>
      <c r="N638" s="1"/>
      <c r="O638" s="1"/>
      <c r="P638" s="1"/>
    </row>
    <row r="639" spans="1:16" ht="15.75" customHeight="1">
      <c r="A639" s="1"/>
      <c r="C639" s="1"/>
      <c r="D639" s="1"/>
      <c r="E639" s="1"/>
      <c r="F639" s="1"/>
      <c r="G639" s="1"/>
      <c r="H639" s="1"/>
      <c r="J639" s="1"/>
      <c r="K639" s="1"/>
      <c r="L639" s="1"/>
      <c r="M639" s="1"/>
      <c r="N639" s="1"/>
      <c r="O639" s="1"/>
      <c r="P639" s="1"/>
    </row>
    <row r="640" spans="1:16" ht="15.75" customHeight="1">
      <c r="A640" s="1"/>
      <c r="C640" s="1"/>
      <c r="D640" s="1"/>
      <c r="E640" s="1"/>
      <c r="F640" s="1"/>
      <c r="G640" s="1"/>
      <c r="H640" s="1"/>
      <c r="J640" s="1"/>
      <c r="K640" s="1"/>
      <c r="L640" s="1"/>
      <c r="M640" s="1"/>
      <c r="N640" s="1"/>
      <c r="O640" s="1"/>
      <c r="P640" s="1"/>
    </row>
    <row r="641" spans="1:16" ht="15.75" customHeight="1">
      <c r="A641" s="1"/>
      <c r="C641" s="1"/>
      <c r="D641" s="1"/>
      <c r="E641" s="1"/>
      <c r="F641" s="1"/>
      <c r="G641" s="1"/>
      <c r="H641" s="1"/>
      <c r="J641" s="1"/>
      <c r="K641" s="1"/>
      <c r="L641" s="1"/>
      <c r="M641" s="1"/>
      <c r="N641" s="1"/>
      <c r="O641" s="1"/>
      <c r="P641" s="1"/>
    </row>
    <row r="642" spans="1:16" ht="15.75" customHeight="1">
      <c r="A642" s="1"/>
      <c r="C642" s="1"/>
      <c r="D642" s="1"/>
      <c r="E642" s="1"/>
      <c r="F642" s="1"/>
      <c r="G642" s="1"/>
      <c r="H642" s="1"/>
      <c r="J642" s="1"/>
      <c r="K642" s="1"/>
      <c r="L642" s="1"/>
      <c r="M642" s="1"/>
      <c r="N642" s="1"/>
      <c r="O642" s="1"/>
      <c r="P642" s="1"/>
    </row>
    <row r="643" spans="1:16" ht="15.75" customHeight="1">
      <c r="A643" s="1"/>
      <c r="C643" s="1"/>
      <c r="D643" s="1"/>
      <c r="E643" s="1"/>
      <c r="F643" s="1"/>
      <c r="G643" s="1"/>
      <c r="H643" s="1"/>
      <c r="J643" s="1"/>
      <c r="K643" s="1"/>
      <c r="L643" s="1"/>
      <c r="M643" s="1"/>
      <c r="N643" s="1"/>
      <c r="O643" s="1"/>
      <c r="P643" s="1"/>
    </row>
    <row r="644" spans="1:16" ht="15.75" customHeight="1">
      <c r="A644" s="1"/>
      <c r="C644" s="1"/>
      <c r="D644" s="1"/>
      <c r="E644" s="1"/>
      <c r="F644" s="1"/>
      <c r="G644" s="1"/>
      <c r="H644" s="1"/>
      <c r="J644" s="1"/>
      <c r="K644" s="1"/>
      <c r="L644" s="1"/>
      <c r="M644" s="1"/>
      <c r="N644" s="1"/>
      <c r="O644" s="1"/>
      <c r="P644" s="1"/>
    </row>
    <row r="645" spans="1:16" ht="15.75" customHeight="1">
      <c r="A645" s="1"/>
      <c r="C645" s="1"/>
      <c r="D645" s="1"/>
      <c r="E645" s="1"/>
      <c r="F645" s="1"/>
      <c r="G645" s="1"/>
      <c r="H645" s="1"/>
      <c r="J645" s="1"/>
      <c r="K645" s="1"/>
      <c r="L645" s="1"/>
      <c r="M645" s="1"/>
      <c r="N645" s="1"/>
      <c r="O645" s="1"/>
      <c r="P645" s="1"/>
    </row>
    <row r="646" spans="1:16" ht="15.75" customHeight="1">
      <c r="A646" s="1"/>
      <c r="C646" s="1"/>
      <c r="D646" s="1"/>
      <c r="E646" s="1"/>
      <c r="F646" s="1"/>
      <c r="G646" s="1"/>
      <c r="H646" s="1"/>
      <c r="J646" s="1"/>
      <c r="K646" s="1"/>
      <c r="L646" s="1"/>
      <c r="M646" s="1"/>
      <c r="N646" s="1"/>
      <c r="O646" s="1"/>
      <c r="P646" s="1"/>
    </row>
    <row r="647" spans="1:16" ht="15.75" customHeight="1">
      <c r="A647" s="1"/>
      <c r="C647" s="1"/>
      <c r="D647" s="1"/>
      <c r="E647" s="1"/>
      <c r="F647" s="1"/>
      <c r="G647" s="1"/>
      <c r="H647" s="1"/>
      <c r="J647" s="1"/>
      <c r="K647" s="1"/>
      <c r="L647" s="1"/>
      <c r="M647" s="1"/>
      <c r="N647" s="1"/>
      <c r="O647" s="1"/>
      <c r="P647" s="1"/>
    </row>
    <row r="648" spans="1:16" ht="15.75" customHeight="1">
      <c r="A648" s="1"/>
      <c r="C648" s="1"/>
      <c r="D648" s="1"/>
      <c r="E648" s="1"/>
      <c r="F648" s="1"/>
      <c r="G648" s="1"/>
      <c r="H648" s="1"/>
      <c r="J648" s="1"/>
      <c r="K648" s="1"/>
      <c r="L648" s="1"/>
      <c r="M648" s="1"/>
      <c r="N648" s="1"/>
      <c r="O648" s="1"/>
      <c r="P648" s="1"/>
    </row>
    <row r="649" spans="1:16" ht="15.75" customHeight="1">
      <c r="A649" s="1"/>
      <c r="C649" s="1"/>
      <c r="D649" s="1"/>
      <c r="E649" s="1"/>
      <c r="F649" s="1"/>
      <c r="G649" s="1"/>
      <c r="H649" s="1"/>
      <c r="J649" s="1"/>
      <c r="K649" s="1"/>
      <c r="L649" s="1"/>
      <c r="M649" s="1"/>
      <c r="N649" s="1"/>
      <c r="O649" s="1"/>
      <c r="P649" s="1"/>
    </row>
    <row r="650" spans="1:16" ht="15.75" customHeight="1">
      <c r="A650" s="1"/>
      <c r="C650" s="1"/>
      <c r="D650" s="1"/>
      <c r="E650" s="1"/>
      <c r="F650" s="1"/>
      <c r="G650" s="1"/>
      <c r="H650" s="1"/>
      <c r="J650" s="1"/>
      <c r="K650" s="1"/>
      <c r="L650" s="1"/>
      <c r="M650" s="1"/>
      <c r="N650" s="1"/>
      <c r="O650" s="1"/>
      <c r="P650" s="1"/>
    </row>
    <row r="651" spans="1:16" ht="15.75" customHeight="1">
      <c r="A651" s="1"/>
      <c r="C651" s="1"/>
      <c r="D651" s="1"/>
      <c r="E651" s="1"/>
      <c r="F651" s="1"/>
      <c r="G651" s="1"/>
      <c r="H651" s="1"/>
      <c r="J651" s="1"/>
      <c r="K651" s="1"/>
      <c r="L651" s="1"/>
      <c r="M651" s="1"/>
      <c r="N651" s="1"/>
      <c r="O651" s="1"/>
      <c r="P651" s="1"/>
    </row>
    <row r="652" spans="1:16" ht="15.75" customHeight="1">
      <c r="A652" s="1"/>
      <c r="C652" s="1"/>
      <c r="D652" s="1"/>
      <c r="E652" s="1"/>
      <c r="F652" s="1"/>
      <c r="G652" s="1"/>
      <c r="H652" s="1"/>
      <c r="J652" s="1"/>
      <c r="K652" s="1"/>
      <c r="L652" s="1"/>
      <c r="M652" s="1"/>
      <c r="N652" s="1"/>
      <c r="O652" s="1"/>
      <c r="P652" s="1"/>
    </row>
    <row r="653" spans="1:16" ht="15.75" customHeight="1">
      <c r="A653" s="1"/>
      <c r="C653" s="1"/>
      <c r="D653" s="1"/>
      <c r="E653" s="1"/>
      <c r="F653" s="1"/>
      <c r="G653" s="1"/>
      <c r="H653" s="1"/>
      <c r="J653" s="1"/>
      <c r="K653" s="1"/>
      <c r="L653" s="1"/>
      <c r="M653" s="1"/>
      <c r="N653" s="1"/>
      <c r="O653" s="1"/>
      <c r="P653" s="1"/>
    </row>
    <row r="654" spans="1:16" ht="15.75" customHeight="1">
      <c r="A654" s="1"/>
      <c r="C654" s="1"/>
      <c r="D654" s="1"/>
      <c r="E654" s="1"/>
      <c r="F654" s="1"/>
      <c r="G654" s="1"/>
      <c r="H654" s="1"/>
      <c r="J654" s="1"/>
      <c r="K654" s="1"/>
      <c r="L654" s="1"/>
      <c r="M654" s="1"/>
      <c r="N654" s="1"/>
      <c r="O654" s="1"/>
      <c r="P654" s="1"/>
    </row>
    <row r="655" spans="1:16" ht="15.75" customHeight="1">
      <c r="A655" s="1"/>
      <c r="C655" s="1"/>
      <c r="D655" s="1"/>
      <c r="E655" s="1"/>
      <c r="F655" s="1"/>
      <c r="G655" s="1"/>
      <c r="H655" s="1"/>
      <c r="J655" s="1"/>
      <c r="K655" s="1"/>
      <c r="L655" s="1"/>
      <c r="M655" s="1"/>
      <c r="N655" s="1"/>
      <c r="O655" s="1"/>
      <c r="P655" s="1"/>
    </row>
    <row r="656" spans="1:16" ht="15.75" customHeight="1">
      <c r="A656" s="1"/>
      <c r="C656" s="1"/>
      <c r="D656" s="1"/>
      <c r="E656" s="1"/>
      <c r="F656" s="1"/>
      <c r="G656" s="1"/>
      <c r="H656" s="1"/>
      <c r="J656" s="1"/>
      <c r="K656" s="1"/>
      <c r="L656" s="1"/>
      <c r="M656" s="1"/>
      <c r="N656" s="1"/>
      <c r="O656" s="1"/>
      <c r="P656" s="1"/>
    </row>
    <row r="657" spans="1:16" ht="15.75" customHeight="1">
      <c r="A657" s="1"/>
      <c r="C657" s="1"/>
      <c r="D657" s="1"/>
      <c r="E657" s="1"/>
      <c r="F657" s="1"/>
      <c r="G657" s="1"/>
      <c r="H657" s="1"/>
      <c r="J657" s="1"/>
      <c r="K657" s="1"/>
      <c r="L657" s="1"/>
      <c r="M657" s="1"/>
      <c r="N657" s="1"/>
      <c r="O657" s="1"/>
      <c r="P657" s="1"/>
    </row>
    <row r="658" spans="1:16" ht="15.75" customHeight="1">
      <c r="A658" s="1"/>
      <c r="C658" s="1"/>
      <c r="D658" s="1"/>
      <c r="E658" s="1"/>
      <c r="F658" s="1"/>
      <c r="G658" s="1"/>
      <c r="H658" s="1"/>
      <c r="J658" s="1"/>
      <c r="K658" s="1"/>
      <c r="L658" s="1"/>
      <c r="M658" s="1"/>
      <c r="N658" s="1"/>
      <c r="O658" s="1"/>
      <c r="P658" s="1"/>
    </row>
    <row r="659" spans="1:16" ht="15.75" customHeight="1">
      <c r="A659" s="1"/>
      <c r="C659" s="1"/>
      <c r="D659" s="1"/>
      <c r="E659" s="1"/>
      <c r="F659" s="1"/>
      <c r="G659" s="1"/>
      <c r="H659" s="1"/>
      <c r="J659" s="1"/>
      <c r="K659" s="1"/>
      <c r="L659" s="1"/>
      <c r="M659" s="1"/>
      <c r="N659" s="1"/>
      <c r="O659" s="1"/>
      <c r="P659" s="1"/>
    </row>
    <row r="660" spans="1:16" ht="15.75" customHeight="1">
      <c r="A660" s="1"/>
      <c r="C660" s="1"/>
      <c r="D660" s="1"/>
      <c r="E660" s="1"/>
      <c r="F660" s="1"/>
      <c r="G660" s="1"/>
      <c r="H660" s="1"/>
      <c r="J660" s="1"/>
      <c r="K660" s="1"/>
      <c r="L660" s="1"/>
      <c r="M660" s="1"/>
      <c r="N660" s="1"/>
      <c r="O660" s="1"/>
      <c r="P660" s="1"/>
    </row>
    <row r="661" spans="1:16" ht="15.75" customHeight="1">
      <c r="A661" s="1"/>
      <c r="C661" s="1"/>
      <c r="D661" s="1"/>
      <c r="E661" s="1"/>
      <c r="F661" s="1"/>
      <c r="G661" s="1"/>
      <c r="H661" s="1"/>
      <c r="J661" s="1"/>
      <c r="K661" s="1"/>
      <c r="L661" s="1"/>
      <c r="M661" s="1"/>
      <c r="N661" s="1"/>
      <c r="O661" s="1"/>
      <c r="P661" s="1"/>
    </row>
    <row r="662" spans="1:16" ht="15.75" customHeight="1">
      <c r="A662" s="1"/>
      <c r="C662" s="1"/>
      <c r="D662" s="1"/>
      <c r="E662" s="1"/>
      <c r="F662" s="1"/>
      <c r="G662" s="1"/>
      <c r="H662" s="1"/>
      <c r="J662" s="1"/>
      <c r="K662" s="1"/>
      <c r="L662" s="1"/>
      <c r="M662" s="1"/>
      <c r="N662" s="1"/>
      <c r="O662" s="1"/>
      <c r="P662" s="1"/>
    </row>
    <row r="663" spans="1:16" ht="15.75" customHeight="1">
      <c r="A663" s="1"/>
      <c r="C663" s="1"/>
      <c r="D663" s="1"/>
      <c r="E663" s="1"/>
      <c r="F663" s="1"/>
      <c r="G663" s="1"/>
      <c r="H663" s="1"/>
      <c r="J663" s="1"/>
      <c r="K663" s="1"/>
      <c r="L663" s="1"/>
      <c r="M663" s="1"/>
      <c r="N663" s="1"/>
      <c r="O663" s="1"/>
      <c r="P663" s="1"/>
    </row>
    <row r="664" spans="1:16" ht="15.75" customHeight="1">
      <c r="A664" s="1"/>
      <c r="C664" s="1"/>
      <c r="D664" s="1"/>
      <c r="E664" s="1"/>
      <c r="F664" s="1"/>
      <c r="G664" s="1"/>
      <c r="H664" s="1"/>
      <c r="J664" s="1"/>
      <c r="K664" s="1"/>
      <c r="L664" s="1"/>
      <c r="M664" s="1"/>
      <c r="N664" s="1"/>
      <c r="O664" s="1"/>
      <c r="P664" s="1"/>
    </row>
    <row r="665" spans="1:16" ht="15.75" customHeight="1">
      <c r="A665" s="1"/>
      <c r="C665" s="1"/>
      <c r="D665" s="1"/>
      <c r="E665" s="1"/>
      <c r="F665" s="1"/>
      <c r="G665" s="1"/>
      <c r="H665" s="1"/>
      <c r="J665" s="1"/>
      <c r="K665" s="1"/>
      <c r="L665" s="1"/>
      <c r="M665" s="1"/>
      <c r="N665" s="1"/>
      <c r="O665" s="1"/>
      <c r="P665" s="1"/>
    </row>
    <row r="666" spans="1:16" ht="15.75" customHeight="1">
      <c r="A666" s="1"/>
      <c r="C666" s="1"/>
      <c r="D666" s="1"/>
      <c r="E666" s="1"/>
      <c r="F666" s="1"/>
      <c r="G666" s="1"/>
      <c r="H666" s="1"/>
      <c r="J666" s="1"/>
      <c r="K666" s="1"/>
      <c r="L666" s="1"/>
      <c r="M666" s="1"/>
      <c r="N666" s="1"/>
      <c r="O666" s="1"/>
      <c r="P666" s="1"/>
    </row>
    <row r="667" spans="1:16" ht="15.75" customHeight="1">
      <c r="A667" s="1"/>
      <c r="C667" s="1"/>
      <c r="D667" s="1"/>
      <c r="E667" s="1"/>
      <c r="F667" s="1"/>
      <c r="G667" s="1"/>
      <c r="H667" s="1"/>
      <c r="J667" s="1"/>
      <c r="K667" s="1"/>
      <c r="L667" s="1"/>
      <c r="M667" s="1"/>
      <c r="N667" s="1"/>
      <c r="O667" s="1"/>
      <c r="P667" s="1"/>
    </row>
    <row r="668" spans="1:16" ht="15.75" customHeight="1">
      <c r="A668" s="1"/>
      <c r="C668" s="1"/>
      <c r="D668" s="1"/>
      <c r="E668" s="1"/>
      <c r="F668" s="1"/>
      <c r="G668" s="1"/>
      <c r="H668" s="1"/>
      <c r="J668" s="1"/>
      <c r="K668" s="1"/>
      <c r="L668" s="1"/>
      <c r="M668" s="1"/>
      <c r="N668" s="1"/>
      <c r="O668" s="1"/>
      <c r="P668" s="1"/>
    </row>
    <row r="669" spans="1:16" ht="15.75" customHeight="1">
      <c r="A669" s="1"/>
      <c r="C669" s="1"/>
      <c r="D669" s="1"/>
      <c r="E669" s="1"/>
      <c r="F669" s="1"/>
      <c r="G669" s="1"/>
      <c r="H669" s="1"/>
      <c r="J669" s="1"/>
      <c r="K669" s="1"/>
      <c r="L669" s="1"/>
      <c r="M669" s="1"/>
      <c r="N669" s="1"/>
      <c r="O669" s="1"/>
      <c r="P669" s="1"/>
    </row>
    <row r="670" spans="1:16" ht="15.75" customHeight="1">
      <c r="A670" s="1"/>
      <c r="C670" s="1"/>
      <c r="D670" s="1"/>
      <c r="E670" s="1"/>
      <c r="F670" s="1"/>
      <c r="G670" s="1"/>
      <c r="H670" s="1"/>
      <c r="J670" s="1"/>
      <c r="K670" s="1"/>
      <c r="L670" s="1"/>
      <c r="M670" s="1"/>
      <c r="N670" s="1"/>
      <c r="O670" s="1"/>
      <c r="P670" s="1"/>
    </row>
    <row r="671" spans="1:16" ht="15.75" customHeight="1">
      <c r="A671" s="1"/>
      <c r="C671" s="1"/>
      <c r="D671" s="1"/>
      <c r="E671" s="1"/>
      <c r="F671" s="1"/>
      <c r="G671" s="1"/>
      <c r="H671" s="1"/>
      <c r="J671" s="1"/>
      <c r="K671" s="1"/>
      <c r="L671" s="1"/>
      <c r="M671" s="1"/>
      <c r="N671" s="1"/>
      <c r="O671" s="1"/>
      <c r="P671" s="1"/>
    </row>
    <row r="672" spans="1:16" ht="15.75" customHeight="1">
      <c r="A672" s="1"/>
      <c r="C672" s="1"/>
      <c r="D672" s="1"/>
      <c r="E672" s="1"/>
      <c r="F672" s="1"/>
      <c r="G672" s="1"/>
      <c r="H672" s="1"/>
      <c r="J672" s="1"/>
      <c r="K672" s="1"/>
      <c r="L672" s="1"/>
      <c r="M672" s="1"/>
      <c r="N672" s="1"/>
      <c r="O672" s="1"/>
      <c r="P672" s="1"/>
    </row>
    <row r="673" spans="1:16" ht="15.75" customHeight="1">
      <c r="A673" s="1"/>
      <c r="C673" s="1"/>
      <c r="D673" s="1"/>
      <c r="E673" s="1"/>
      <c r="F673" s="1"/>
      <c r="G673" s="1"/>
      <c r="H673" s="1"/>
      <c r="J673" s="1"/>
      <c r="K673" s="1"/>
      <c r="L673" s="1"/>
      <c r="M673" s="1"/>
      <c r="N673" s="1"/>
      <c r="O673" s="1"/>
      <c r="P673" s="1"/>
    </row>
    <row r="674" spans="1:16" ht="15.75" customHeight="1">
      <c r="A674" s="1"/>
      <c r="C674" s="1"/>
      <c r="D674" s="1"/>
      <c r="E674" s="1"/>
      <c r="F674" s="1"/>
      <c r="G674" s="1"/>
      <c r="H674" s="1"/>
      <c r="J674" s="1"/>
      <c r="K674" s="1"/>
      <c r="L674" s="1"/>
      <c r="M674" s="1"/>
      <c r="N674" s="1"/>
      <c r="O674" s="1"/>
      <c r="P674" s="1"/>
    </row>
    <row r="675" spans="1:16" ht="15.75" customHeight="1">
      <c r="A675" s="1"/>
      <c r="C675" s="1"/>
      <c r="D675" s="1"/>
      <c r="E675" s="1"/>
      <c r="F675" s="1"/>
      <c r="G675" s="1"/>
      <c r="H675" s="1"/>
      <c r="J675" s="1"/>
      <c r="K675" s="1"/>
      <c r="L675" s="1"/>
      <c r="M675" s="1"/>
      <c r="N675" s="1"/>
      <c r="O675" s="1"/>
      <c r="P675" s="1"/>
    </row>
    <row r="676" spans="1:16" ht="15.75" customHeight="1">
      <c r="A676" s="1"/>
      <c r="C676" s="1"/>
      <c r="D676" s="1"/>
      <c r="E676" s="1"/>
      <c r="F676" s="1"/>
      <c r="G676" s="1"/>
      <c r="H676" s="1"/>
      <c r="J676" s="1"/>
      <c r="K676" s="1"/>
      <c r="L676" s="1"/>
      <c r="M676" s="1"/>
      <c r="N676" s="1"/>
      <c r="O676" s="1"/>
      <c r="P676" s="1"/>
    </row>
    <row r="677" spans="1:16" ht="15.75" customHeight="1">
      <c r="A677" s="1"/>
      <c r="C677" s="1"/>
      <c r="D677" s="1"/>
      <c r="E677" s="1"/>
      <c r="F677" s="1"/>
      <c r="G677" s="1"/>
      <c r="H677" s="1"/>
      <c r="J677" s="1"/>
      <c r="K677" s="1"/>
      <c r="L677" s="1"/>
      <c r="M677" s="1"/>
      <c r="N677" s="1"/>
      <c r="O677" s="1"/>
      <c r="P677" s="1"/>
    </row>
    <row r="678" spans="1:16" ht="15.75" customHeight="1">
      <c r="A678" s="1"/>
      <c r="C678" s="1"/>
      <c r="D678" s="1"/>
      <c r="E678" s="1"/>
      <c r="F678" s="1"/>
      <c r="G678" s="1"/>
      <c r="H678" s="1"/>
      <c r="J678" s="1"/>
      <c r="K678" s="1"/>
      <c r="L678" s="1"/>
      <c r="M678" s="1"/>
      <c r="N678" s="1"/>
      <c r="O678" s="1"/>
      <c r="P678" s="1"/>
    </row>
    <row r="679" spans="1:16" ht="15.75" customHeight="1">
      <c r="A679" s="1"/>
      <c r="C679" s="1"/>
      <c r="D679" s="1"/>
      <c r="E679" s="1"/>
      <c r="F679" s="1"/>
      <c r="G679" s="1"/>
      <c r="H679" s="1"/>
      <c r="J679" s="1"/>
      <c r="K679" s="1"/>
      <c r="L679" s="1"/>
      <c r="M679" s="1"/>
      <c r="N679" s="1"/>
      <c r="O679" s="1"/>
      <c r="P679" s="1"/>
    </row>
    <row r="680" spans="1:16" ht="15.75" customHeight="1">
      <c r="A680" s="1"/>
      <c r="C680" s="1"/>
      <c r="D680" s="1"/>
      <c r="E680" s="1"/>
      <c r="F680" s="1"/>
      <c r="G680" s="1"/>
      <c r="H680" s="1"/>
      <c r="J680" s="1"/>
      <c r="K680" s="1"/>
      <c r="L680" s="1"/>
      <c r="M680" s="1"/>
      <c r="N680" s="1"/>
      <c r="O680" s="1"/>
      <c r="P680" s="1"/>
    </row>
    <row r="681" spans="1:16" ht="15.75" customHeight="1">
      <c r="A681" s="1"/>
      <c r="C681" s="1"/>
      <c r="D681" s="1"/>
      <c r="E681" s="1"/>
      <c r="F681" s="1"/>
      <c r="G681" s="1"/>
      <c r="H681" s="1"/>
      <c r="J681" s="1"/>
      <c r="K681" s="1"/>
      <c r="L681" s="1"/>
      <c r="M681" s="1"/>
      <c r="N681" s="1"/>
      <c r="O681" s="1"/>
      <c r="P681" s="1"/>
    </row>
    <row r="682" spans="1:16" ht="15.75" customHeight="1">
      <c r="A682" s="1"/>
      <c r="C682" s="1"/>
      <c r="D682" s="1"/>
      <c r="E682" s="1"/>
      <c r="F682" s="1"/>
      <c r="G682" s="1"/>
      <c r="H682" s="1"/>
      <c r="J682" s="1"/>
      <c r="K682" s="1"/>
      <c r="L682" s="1"/>
      <c r="M682" s="1"/>
      <c r="N682" s="1"/>
      <c r="O682" s="1"/>
      <c r="P682" s="1"/>
    </row>
    <row r="683" spans="1:16" ht="15.75" customHeight="1">
      <c r="A683" s="1"/>
      <c r="C683" s="1"/>
      <c r="D683" s="1"/>
      <c r="E683" s="1"/>
      <c r="F683" s="1"/>
      <c r="G683" s="1"/>
      <c r="H683" s="1"/>
      <c r="J683" s="1"/>
      <c r="K683" s="1"/>
      <c r="L683" s="1"/>
      <c r="M683" s="1"/>
      <c r="N683" s="1"/>
      <c r="O683" s="1"/>
      <c r="P683" s="1"/>
    </row>
    <row r="684" spans="1:16" ht="15.75" customHeight="1">
      <c r="A684" s="1"/>
      <c r="C684" s="1"/>
      <c r="D684" s="1"/>
      <c r="E684" s="1"/>
      <c r="F684" s="1"/>
      <c r="G684" s="1"/>
      <c r="H684" s="1"/>
      <c r="J684" s="1"/>
      <c r="K684" s="1"/>
      <c r="L684" s="1"/>
      <c r="M684" s="1"/>
      <c r="N684" s="1"/>
      <c r="O684" s="1"/>
      <c r="P684" s="1"/>
    </row>
    <row r="685" spans="1:16" ht="15.75" customHeight="1">
      <c r="A685" s="1"/>
      <c r="C685" s="1"/>
      <c r="D685" s="1"/>
      <c r="E685" s="1"/>
      <c r="F685" s="1"/>
      <c r="G685" s="1"/>
      <c r="H685" s="1"/>
      <c r="J685" s="1"/>
      <c r="K685" s="1"/>
      <c r="L685" s="1"/>
      <c r="M685" s="1"/>
      <c r="N685" s="1"/>
      <c r="O685" s="1"/>
      <c r="P685" s="1"/>
    </row>
    <row r="686" spans="1:16" ht="15.75" customHeight="1">
      <c r="A686" s="1"/>
      <c r="C686" s="1"/>
      <c r="D686" s="1"/>
      <c r="E686" s="1"/>
      <c r="F686" s="1"/>
      <c r="G686" s="1"/>
      <c r="H686" s="1"/>
      <c r="J686" s="1"/>
      <c r="K686" s="1"/>
      <c r="L686" s="1"/>
      <c r="M686" s="1"/>
      <c r="N686" s="1"/>
      <c r="O686" s="1"/>
      <c r="P686" s="1"/>
    </row>
    <row r="687" spans="1:16" ht="15.75" customHeight="1">
      <c r="A687" s="1"/>
      <c r="C687" s="1"/>
      <c r="D687" s="1"/>
      <c r="E687" s="1"/>
      <c r="F687" s="1"/>
      <c r="G687" s="1"/>
      <c r="H687" s="1"/>
      <c r="J687" s="1"/>
      <c r="K687" s="1"/>
      <c r="L687" s="1"/>
      <c r="M687" s="1"/>
      <c r="N687" s="1"/>
      <c r="O687" s="1"/>
      <c r="P687" s="1"/>
    </row>
    <row r="688" spans="1:16" ht="15.75" customHeight="1">
      <c r="A688" s="1"/>
      <c r="C688" s="1"/>
      <c r="D688" s="1"/>
      <c r="E688" s="1"/>
      <c r="F688" s="1"/>
      <c r="G688" s="1"/>
      <c r="H688" s="1"/>
      <c r="J688" s="1"/>
      <c r="K688" s="1"/>
      <c r="L688" s="1"/>
      <c r="M688" s="1"/>
      <c r="N688" s="1"/>
      <c r="O688" s="1"/>
      <c r="P688" s="1"/>
    </row>
    <row r="689" spans="1:16" ht="15.75" customHeight="1">
      <c r="A689" s="1"/>
      <c r="C689" s="1"/>
      <c r="D689" s="1"/>
      <c r="E689" s="1"/>
      <c r="F689" s="1"/>
      <c r="G689" s="1"/>
      <c r="H689" s="1"/>
      <c r="J689" s="1"/>
      <c r="K689" s="1"/>
      <c r="L689" s="1"/>
      <c r="M689" s="1"/>
      <c r="N689" s="1"/>
      <c r="O689" s="1"/>
      <c r="P689" s="1"/>
    </row>
    <row r="690" spans="1:16" ht="15.75" customHeight="1">
      <c r="A690" s="1"/>
      <c r="C690" s="1"/>
      <c r="D690" s="1"/>
      <c r="E690" s="1"/>
      <c r="F690" s="1"/>
      <c r="G690" s="1"/>
      <c r="H690" s="1"/>
      <c r="J690" s="1"/>
      <c r="K690" s="1"/>
      <c r="L690" s="1"/>
      <c r="M690" s="1"/>
      <c r="N690" s="1"/>
      <c r="O690" s="1"/>
      <c r="P690" s="1"/>
    </row>
    <row r="691" spans="1:16" ht="15.75" customHeight="1">
      <c r="A691" s="1"/>
      <c r="C691" s="1"/>
      <c r="D691" s="1"/>
      <c r="E691" s="1"/>
      <c r="F691" s="1"/>
      <c r="G691" s="1"/>
      <c r="H691" s="1"/>
      <c r="J691" s="1"/>
      <c r="K691" s="1"/>
      <c r="L691" s="1"/>
      <c r="M691" s="1"/>
      <c r="N691" s="1"/>
      <c r="O691" s="1"/>
      <c r="P691" s="1"/>
    </row>
    <row r="692" spans="1:16" ht="15.75" customHeight="1">
      <c r="A692" s="1"/>
      <c r="C692" s="1"/>
      <c r="D692" s="1"/>
      <c r="E692" s="1"/>
      <c r="F692" s="1"/>
      <c r="G692" s="1"/>
      <c r="H692" s="1"/>
      <c r="J692" s="1"/>
      <c r="K692" s="1"/>
      <c r="L692" s="1"/>
      <c r="M692" s="1"/>
      <c r="N692" s="1"/>
      <c r="O692" s="1"/>
      <c r="P692" s="1"/>
    </row>
    <row r="693" spans="1:16" ht="15.75" customHeight="1">
      <c r="A693" s="1"/>
      <c r="C693" s="1"/>
      <c r="D693" s="1"/>
      <c r="E693" s="1"/>
      <c r="F693" s="1"/>
      <c r="G693" s="1"/>
      <c r="H693" s="1"/>
      <c r="J693" s="1"/>
      <c r="K693" s="1"/>
      <c r="L693" s="1"/>
      <c r="M693" s="1"/>
      <c r="N693" s="1"/>
      <c r="O693" s="1"/>
      <c r="P693" s="1"/>
    </row>
    <row r="694" spans="1:16" ht="15.75" customHeight="1">
      <c r="A694" s="1"/>
      <c r="C694" s="1"/>
      <c r="D694" s="1"/>
      <c r="E694" s="1"/>
      <c r="F694" s="1"/>
      <c r="G694" s="1"/>
      <c r="H694" s="1"/>
      <c r="J694" s="1"/>
      <c r="K694" s="1"/>
      <c r="L694" s="1"/>
      <c r="M694" s="1"/>
      <c r="N694" s="1"/>
      <c r="O694" s="1"/>
      <c r="P694" s="1"/>
    </row>
    <row r="695" spans="1:16" ht="15.75" customHeight="1">
      <c r="A695" s="1"/>
      <c r="C695" s="1"/>
      <c r="D695" s="1"/>
      <c r="E695" s="1"/>
      <c r="F695" s="1"/>
      <c r="G695" s="1"/>
      <c r="H695" s="1"/>
      <c r="J695" s="1"/>
      <c r="K695" s="1"/>
      <c r="L695" s="1"/>
      <c r="M695" s="1"/>
      <c r="N695" s="1"/>
      <c r="O695" s="1"/>
      <c r="P695" s="1"/>
    </row>
    <row r="696" spans="1:16" ht="15.75" customHeight="1">
      <c r="A696" s="1"/>
      <c r="C696" s="1"/>
      <c r="D696" s="1"/>
      <c r="E696" s="1"/>
      <c r="F696" s="1"/>
      <c r="G696" s="1"/>
      <c r="H696" s="1"/>
      <c r="J696" s="1"/>
      <c r="K696" s="1"/>
      <c r="L696" s="1"/>
      <c r="M696" s="1"/>
      <c r="N696" s="1"/>
      <c r="O696" s="1"/>
      <c r="P696" s="1"/>
    </row>
    <row r="697" spans="1:16" ht="15.75" customHeight="1">
      <c r="A697" s="1"/>
      <c r="C697" s="1"/>
      <c r="D697" s="1"/>
      <c r="E697" s="1"/>
      <c r="F697" s="1"/>
      <c r="G697" s="1"/>
      <c r="H697" s="1"/>
      <c r="J697" s="1"/>
      <c r="K697" s="1"/>
      <c r="L697" s="1"/>
      <c r="M697" s="1"/>
      <c r="N697" s="1"/>
      <c r="O697" s="1"/>
      <c r="P697" s="1"/>
    </row>
    <row r="698" spans="1:16" ht="15.75" customHeight="1">
      <c r="A698" s="1"/>
      <c r="C698" s="1"/>
      <c r="D698" s="1"/>
      <c r="E698" s="1"/>
      <c r="F698" s="1"/>
      <c r="G698" s="1"/>
      <c r="H698" s="1"/>
      <c r="J698" s="1"/>
      <c r="K698" s="1"/>
      <c r="L698" s="1"/>
      <c r="M698" s="1"/>
      <c r="N698" s="1"/>
      <c r="O698" s="1"/>
      <c r="P698" s="1"/>
    </row>
    <row r="699" spans="1:16" ht="15.75" customHeight="1">
      <c r="A699" s="1"/>
      <c r="C699" s="1"/>
      <c r="D699" s="1"/>
      <c r="E699" s="1"/>
      <c r="F699" s="1"/>
      <c r="G699" s="1"/>
      <c r="H699" s="1"/>
      <c r="J699" s="1"/>
      <c r="K699" s="1"/>
      <c r="L699" s="1"/>
      <c r="M699" s="1"/>
      <c r="N699" s="1"/>
      <c r="O699" s="1"/>
      <c r="P699" s="1"/>
    </row>
    <row r="700" spans="1:16" ht="15.75" customHeight="1">
      <c r="A700" s="1"/>
      <c r="C700" s="1"/>
      <c r="D700" s="1"/>
      <c r="E700" s="1"/>
      <c r="F700" s="1"/>
      <c r="G700" s="1"/>
      <c r="H700" s="1"/>
      <c r="J700" s="1"/>
      <c r="K700" s="1"/>
      <c r="L700" s="1"/>
      <c r="M700" s="1"/>
      <c r="N700" s="1"/>
      <c r="O700" s="1"/>
      <c r="P700" s="1"/>
    </row>
    <row r="701" spans="1:16" ht="15.75" customHeight="1">
      <c r="A701" s="1"/>
      <c r="C701" s="1"/>
      <c r="D701" s="1"/>
      <c r="E701" s="1"/>
      <c r="F701" s="1"/>
      <c r="G701" s="1"/>
      <c r="H701" s="1"/>
      <c r="J701" s="1"/>
      <c r="K701" s="1"/>
      <c r="L701" s="1"/>
      <c r="M701" s="1"/>
      <c r="N701" s="1"/>
      <c r="O701" s="1"/>
      <c r="P701" s="1"/>
    </row>
    <row r="702" spans="1:16" ht="15.75" customHeight="1">
      <c r="A702" s="1"/>
      <c r="C702" s="1"/>
      <c r="D702" s="1"/>
      <c r="E702" s="1"/>
      <c r="F702" s="1"/>
      <c r="G702" s="1"/>
      <c r="H702" s="1"/>
      <c r="J702" s="1"/>
      <c r="K702" s="1"/>
      <c r="L702" s="1"/>
      <c r="M702" s="1"/>
      <c r="N702" s="1"/>
      <c r="O702" s="1"/>
      <c r="P702" s="1"/>
    </row>
    <row r="703" spans="1:16" ht="15.75" customHeight="1">
      <c r="A703" s="1"/>
      <c r="C703" s="1"/>
      <c r="D703" s="1"/>
      <c r="E703" s="1"/>
      <c r="F703" s="1"/>
      <c r="G703" s="1"/>
      <c r="H703" s="1"/>
      <c r="J703" s="1"/>
      <c r="K703" s="1"/>
      <c r="L703" s="1"/>
      <c r="M703" s="1"/>
      <c r="N703" s="1"/>
      <c r="O703" s="1"/>
      <c r="P703" s="1"/>
    </row>
    <row r="704" spans="1:16" ht="15.75" customHeight="1">
      <c r="A704" s="1"/>
      <c r="C704" s="1"/>
      <c r="D704" s="1"/>
      <c r="E704" s="1"/>
      <c r="F704" s="1"/>
      <c r="G704" s="1"/>
      <c r="H704" s="1"/>
      <c r="J704" s="1"/>
      <c r="K704" s="1"/>
      <c r="L704" s="1"/>
      <c r="M704" s="1"/>
      <c r="N704" s="1"/>
      <c r="O704" s="1"/>
      <c r="P704" s="1"/>
    </row>
    <row r="705" spans="1:16" ht="15.75" customHeight="1">
      <c r="A705" s="1"/>
      <c r="C705" s="1"/>
      <c r="D705" s="1"/>
      <c r="E705" s="1"/>
      <c r="F705" s="1"/>
      <c r="G705" s="1"/>
      <c r="H705" s="1"/>
      <c r="J705" s="1"/>
      <c r="K705" s="1"/>
      <c r="L705" s="1"/>
      <c r="M705" s="1"/>
      <c r="N705" s="1"/>
      <c r="O705" s="1"/>
      <c r="P705" s="1"/>
    </row>
    <row r="706" spans="1:16" ht="15.75" customHeight="1">
      <c r="A706" s="1"/>
      <c r="C706" s="1"/>
      <c r="D706" s="1"/>
      <c r="E706" s="1"/>
      <c r="F706" s="1"/>
      <c r="G706" s="1"/>
      <c r="H706" s="1"/>
      <c r="J706" s="1"/>
      <c r="K706" s="1"/>
      <c r="L706" s="1"/>
      <c r="M706" s="1"/>
      <c r="N706" s="1"/>
      <c r="O706" s="1"/>
      <c r="P706" s="1"/>
    </row>
    <row r="707" spans="1:16" ht="15.75" customHeight="1">
      <c r="A707" s="1"/>
      <c r="C707" s="1"/>
      <c r="D707" s="1"/>
      <c r="E707" s="1"/>
      <c r="F707" s="1"/>
      <c r="G707" s="1"/>
      <c r="H707" s="1"/>
      <c r="J707" s="1"/>
      <c r="K707" s="1"/>
      <c r="L707" s="1"/>
      <c r="M707" s="1"/>
      <c r="N707" s="1"/>
      <c r="O707" s="1"/>
      <c r="P707" s="1"/>
    </row>
    <row r="708" spans="1:16" ht="15.75" customHeight="1">
      <c r="A708" s="1"/>
      <c r="C708" s="1"/>
      <c r="D708" s="1"/>
      <c r="E708" s="1"/>
      <c r="F708" s="1"/>
      <c r="G708" s="1"/>
      <c r="H708" s="1"/>
      <c r="J708" s="1"/>
      <c r="K708" s="1"/>
      <c r="L708" s="1"/>
      <c r="M708" s="1"/>
      <c r="N708" s="1"/>
      <c r="O708" s="1"/>
      <c r="P708" s="1"/>
    </row>
    <row r="709" spans="1:16" ht="15.75" customHeight="1">
      <c r="A709" s="1"/>
      <c r="C709" s="1"/>
      <c r="D709" s="1"/>
      <c r="E709" s="1"/>
      <c r="F709" s="1"/>
      <c r="G709" s="1"/>
      <c r="H709" s="1"/>
      <c r="J709" s="1"/>
      <c r="K709" s="1"/>
      <c r="L709" s="1"/>
      <c r="M709" s="1"/>
      <c r="N709" s="1"/>
      <c r="O709" s="1"/>
      <c r="P709" s="1"/>
    </row>
    <row r="710" spans="1:16" ht="15.75" customHeight="1">
      <c r="A710" s="1"/>
      <c r="C710" s="1"/>
      <c r="D710" s="1"/>
      <c r="E710" s="1"/>
      <c r="F710" s="1"/>
      <c r="G710" s="1"/>
      <c r="H710" s="1"/>
      <c r="J710" s="1"/>
      <c r="K710" s="1"/>
      <c r="L710" s="1"/>
      <c r="M710" s="1"/>
      <c r="N710" s="1"/>
      <c r="O710" s="1"/>
      <c r="P710" s="1"/>
    </row>
    <row r="711" spans="1:16" ht="15.75" customHeight="1">
      <c r="A711" s="1"/>
      <c r="C711" s="1"/>
      <c r="D711" s="1"/>
      <c r="E711" s="1"/>
      <c r="F711" s="1"/>
      <c r="G711" s="1"/>
      <c r="H711" s="1"/>
      <c r="J711" s="1"/>
      <c r="K711" s="1"/>
      <c r="L711" s="1"/>
      <c r="M711" s="1"/>
      <c r="N711" s="1"/>
      <c r="O711" s="1"/>
      <c r="P711" s="1"/>
    </row>
    <row r="712" spans="1:16" ht="15.75" customHeight="1">
      <c r="A712" s="1"/>
      <c r="C712" s="1"/>
      <c r="D712" s="1"/>
      <c r="E712" s="1"/>
      <c r="F712" s="1"/>
      <c r="G712" s="1"/>
      <c r="H712" s="1"/>
      <c r="J712" s="1"/>
      <c r="K712" s="1"/>
      <c r="L712" s="1"/>
      <c r="M712" s="1"/>
      <c r="N712" s="1"/>
      <c r="O712" s="1"/>
      <c r="P712" s="1"/>
    </row>
    <row r="713" spans="1:16" ht="15.75" customHeight="1">
      <c r="A713" s="1"/>
      <c r="C713" s="1"/>
      <c r="D713" s="1"/>
      <c r="E713" s="1"/>
      <c r="F713" s="1"/>
      <c r="G713" s="1"/>
      <c r="H713" s="1"/>
      <c r="J713" s="1"/>
      <c r="K713" s="1"/>
      <c r="L713" s="1"/>
      <c r="M713" s="1"/>
      <c r="N713" s="1"/>
      <c r="O713" s="1"/>
      <c r="P713" s="1"/>
    </row>
    <row r="714" spans="1:16" ht="15.75" customHeight="1">
      <c r="A714" s="1"/>
      <c r="C714" s="1"/>
      <c r="D714" s="1"/>
      <c r="E714" s="1"/>
      <c r="F714" s="1"/>
      <c r="G714" s="1"/>
      <c r="H714" s="1"/>
      <c r="J714" s="1"/>
      <c r="K714" s="1"/>
      <c r="L714" s="1"/>
      <c r="M714" s="1"/>
      <c r="N714" s="1"/>
      <c r="O714" s="1"/>
      <c r="P714" s="1"/>
    </row>
    <row r="715" spans="1:16" ht="15.75" customHeight="1">
      <c r="A715" s="1"/>
      <c r="C715" s="1"/>
      <c r="D715" s="1"/>
      <c r="E715" s="1"/>
      <c r="F715" s="1"/>
      <c r="G715" s="1"/>
      <c r="H715" s="1"/>
      <c r="J715" s="1"/>
      <c r="K715" s="1"/>
      <c r="L715" s="1"/>
      <c r="M715" s="1"/>
      <c r="N715" s="1"/>
      <c r="O715" s="1"/>
      <c r="P715" s="1"/>
    </row>
    <row r="716" spans="1:16" ht="15.75" customHeight="1">
      <c r="A716" s="1"/>
      <c r="C716" s="1"/>
      <c r="D716" s="1"/>
      <c r="E716" s="1"/>
      <c r="F716" s="1"/>
      <c r="G716" s="1"/>
      <c r="H716" s="1"/>
      <c r="J716" s="1"/>
      <c r="K716" s="1"/>
      <c r="L716" s="1"/>
      <c r="M716" s="1"/>
      <c r="N716" s="1"/>
      <c r="O716" s="1"/>
      <c r="P716" s="1"/>
    </row>
    <row r="717" spans="1:16" ht="15.75" customHeight="1">
      <c r="A717" s="1"/>
      <c r="C717" s="1"/>
      <c r="D717" s="1"/>
      <c r="E717" s="1"/>
      <c r="F717" s="1"/>
      <c r="G717" s="1"/>
      <c r="H717" s="1"/>
      <c r="J717" s="1"/>
      <c r="K717" s="1"/>
      <c r="L717" s="1"/>
      <c r="M717" s="1"/>
      <c r="N717" s="1"/>
      <c r="O717" s="1"/>
      <c r="P717" s="1"/>
    </row>
    <row r="718" spans="1:16" ht="15.75" customHeight="1">
      <c r="A718" s="1"/>
      <c r="C718" s="1"/>
      <c r="D718" s="1"/>
      <c r="E718" s="1"/>
      <c r="F718" s="1"/>
      <c r="G718" s="1"/>
      <c r="H718" s="1"/>
      <c r="J718" s="1"/>
      <c r="K718" s="1"/>
      <c r="L718" s="1"/>
      <c r="M718" s="1"/>
      <c r="N718" s="1"/>
      <c r="O718" s="1"/>
      <c r="P718" s="1"/>
    </row>
    <row r="719" spans="1:16" ht="15.75" customHeight="1">
      <c r="A719" s="1"/>
      <c r="C719" s="1"/>
      <c r="D719" s="1"/>
      <c r="E719" s="1"/>
      <c r="F719" s="1"/>
      <c r="G719" s="1"/>
      <c r="H719" s="1"/>
      <c r="J719" s="1"/>
      <c r="K719" s="1"/>
      <c r="L719" s="1"/>
      <c r="M719" s="1"/>
      <c r="N719" s="1"/>
      <c r="O719" s="1"/>
      <c r="P719" s="1"/>
    </row>
    <row r="720" spans="1:16" ht="15.75" customHeight="1">
      <c r="A720" s="1"/>
      <c r="C720" s="1"/>
      <c r="D720" s="1"/>
      <c r="E720" s="1"/>
      <c r="F720" s="1"/>
      <c r="G720" s="1"/>
      <c r="H720" s="1"/>
      <c r="J720" s="1"/>
      <c r="K720" s="1"/>
      <c r="L720" s="1"/>
      <c r="M720" s="1"/>
      <c r="N720" s="1"/>
      <c r="O720" s="1"/>
      <c r="P720" s="1"/>
    </row>
    <row r="721" spans="1:16" ht="15.75" customHeight="1">
      <c r="A721" s="1"/>
      <c r="C721" s="1"/>
      <c r="D721" s="1"/>
      <c r="E721" s="1"/>
      <c r="F721" s="1"/>
      <c r="G721" s="1"/>
      <c r="H721" s="1"/>
      <c r="J721" s="1"/>
      <c r="K721" s="1"/>
      <c r="L721" s="1"/>
      <c r="M721" s="1"/>
      <c r="N721" s="1"/>
      <c r="O721" s="1"/>
      <c r="P721" s="1"/>
    </row>
    <row r="722" spans="1:16" ht="15.75" customHeight="1">
      <c r="A722" s="1"/>
      <c r="C722" s="1"/>
      <c r="D722" s="1"/>
      <c r="E722" s="1"/>
      <c r="F722" s="1"/>
      <c r="G722" s="1"/>
      <c r="H722" s="1"/>
      <c r="J722" s="1"/>
      <c r="K722" s="1"/>
      <c r="L722" s="1"/>
      <c r="M722" s="1"/>
      <c r="N722" s="1"/>
      <c r="O722" s="1"/>
      <c r="P722" s="1"/>
    </row>
    <row r="723" spans="1:16" ht="15.75" customHeight="1">
      <c r="A723" s="1"/>
      <c r="C723" s="1"/>
      <c r="D723" s="1"/>
      <c r="E723" s="1"/>
      <c r="F723" s="1"/>
      <c r="G723" s="1"/>
      <c r="H723" s="1"/>
      <c r="J723" s="1"/>
      <c r="K723" s="1"/>
      <c r="L723" s="1"/>
      <c r="M723" s="1"/>
      <c r="N723" s="1"/>
      <c r="O723" s="1"/>
      <c r="P723" s="1"/>
    </row>
    <row r="724" spans="1:16" ht="15.75" customHeight="1">
      <c r="A724" s="1"/>
      <c r="C724" s="1"/>
      <c r="D724" s="1"/>
      <c r="E724" s="1"/>
      <c r="F724" s="1"/>
      <c r="G724" s="1"/>
      <c r="H724" s="1"/>
      <c r="J724" s="1"/>
      <c r="K724" s="1"/>
      <c r="L724" s="1"/>
      <c r="M724" s="1"/>
      <c r="N724" s="1"/>
      <c r="O724" s="1"/>
      <c r="P724" s="1"/>
    </row>
    <row r="725" spans="1:16" ht="15.75" customHeight="1">
      <c r="A725" s="1"/>
      <c r="C725" s="1"/>
      <c r="D725" s="1"/>
      <c r="E725" s="1"/>
      <c r="F725" s="1"/>
      <c r="G725" s="1"/>
      <c r="H725" s="1"/>
      <c r="J725" s="1"/>
      <c r="K725" s="1"/>
      <c r="L725" s="1"/>
      <c r="M725" s="1"/>
      <c r="N725" s="1"/>
      <c r="O725" s="1"/>
      <c r="P725" s="1"/>
    </row>
    <row r="726" spans="1:16" ht="15.75" customHeight="1">
      <c r="A726" s="1"/>
      <c r="C726" s="1"/>
      <c r="D726" s="1"/>
      <c r="E726" s="1"/>
      <c r="F726" s="1"/>
      <c r="G726" s="1"/>
      <c r="H726" s="1"/>
      <c r="J726" s="1"/>
      <c r="K726" s="1"/>
      <c r="L726" s="1"/>
      <c r="M726" s="1"/>
      <c r="N726" s="1"/>
      <c r="O726" s="1"/>
      <c r="P726" s="1"/>
    </row>
    <row r="727" spans="1:16" ht="15.75" customHeight="1">
      <c r="A727" s="1"/>
      <c r="C727" s="1"/>
      <c r="D727" s="1"/>
      <c r="E727" s="1"/>
      <c r="F727" s="1"/>
      <c r="G727" s="1"/>
      <c r="H727" s="1"/>
      <c r="J727" s="1"/>
      <c r="K727" s="1"/>
      <c r="L727" s="1"/>
      <c r="M727" s="1"/>
      <c r="N727" s="1"/>
      <c r="O727" s="1"/>
      <c r="P727" s="1"/>
    </row>
    <row r="728" spans="1:16" ht="15.75" customHeight="1">
      <c r="A728" s="1"/>
      <c r="C728" s="1"/>
      <c r="D728" s="1"/>
      <c r="E728" s="1"/>
      <c r="F728" s="1"/>
      <c r="G728" s="1"/>
      <c r="H728" s="1"/>
      <c r="J728" s="1"/>
      <c r="K728" s="1"/>
      <c r="L728" s="1"/>
      <c r="M728" s="1"/>
      <c r="N728" s="1"/>
      <c r="O728" s="1"/>
      <c r="P728" s="1"/>
    </row>
    <row r="729" spans="1:16" ht="15.75" customHeight="1">
      <c r="A729" s="1"/>
      <c r="C729" s="1"/>
      <c r="D729" s="1"/>
      <c r="E729" s="1"/>
      <c r="F729" s="1"/>
      <c r="G729" s="1"/>
      <c r="H729" s="1"/>
      <c r="J729" s="1"/>
      <c r="K729" s="1"/>
      <c r="L729" s="1"/>
      <c r="M729" s="1"/>
      <c r="N729" s="1"/>
      <c r="O729" s="1"/>
      <c r="P729" s="1"/>
    </row>
    <row r="730" spans="1:16" ht="15.75" customHeight="1">
      <c r="A730" s="1"/>
      <c r="C730" s="1"/>
      <c r="D730" s="1"/>
      <c r="E730" s="1"/>
      <c r="F730" s="1"/>
      <c r="G730" s="1"/>
      <c r="H730" s="1"/>
      <c r="J730" s="1"/>
      <c r="K730" s="1"/>
      <c r="L730" s="1"/>
      <c r="M730" s="1"/>
      <c r="N730" s="1"/>
      <c r="O730" s="1"/>
      <c r="P730" s="1"/>
    </row>
    <row r="731" spans="1:16" ht="15.75" customHeight="1">
      <c r="A731" s="1"/>
      <c r="C731" s="1"/>
      <c r="D731" s="1"/>
      <c r="E731" s="1"/>
      <c r="F731" s="1"/>
      <c r="G731" s="1"/>
      <c r="H731" s="1"/>
      <c r="J731" s="1"/>
      <c r="K731" s="1"/>
      <c r="L731" s="1"/>
      <c r="M731" s="1"/>
      <c r="N731" s="1"/>
      <c r="O731" s="1"/>
      <c r="P731" s="1"/>
    </row>
    <row r="732" spans="1:16" ht="15.75" customHeight="1">
      <c r="A732" s="1"/>
      <c r="C732" s="1"/>
      <c r="D732" s="1"/>
      <c r="E732" s="1"/>
      <c r="F732" s="1"/>
      <c r="G732" s="1"/>
      <c r="H732" s="1"/>
      <c r="J732" s="1"/>
      <c r="K732" s="1"/>
      <c r="L732" s="1"/>
      <c r="M732" s="1"/>
      <c r="N732" s="1"/>
      <c r="O732" s="1"/>
      <c r="P732" s="1"/>
    </row>
    <row r="733" spans="1:16" ht="15.75" customHeight="1">
      <c r="A733" s="1"/>
      <c r="C733" s="1"/>
      <c r="D733" s="1"/>
      <c r="E733" s="1"/>
      <c r="F733" s="1"/>
      <c r="G733" s="1"/>
      <c r="H733" s="1"/>
      <c r="J733" s="1"/>
      <c r="K733" s="1"/>
      <c r="L733" s="1"/>
      <c r="M733" s="1"/>
      <c r="N733" s="1"/>
      <c r="O733" s="1"/>
      <c r="P733" s="1"/>
    </row>
    <row r="734" spans="1:16" ht="15.75" customHeight="1">
      <c r="A734" s="1"/>
      <c r="C734" s="1"/>
      <c r="D734" s="1"/>
      <c r="E734" s="1"/>
      <c r="F734" s="1"/>
      <c r="G734" s="1"/>
      <c r="H734" s="1"/>
      <c r="J734" s="1"/>
      <c r="K734" s="1"/>
      <c r="L734" s="1"/>
      <c r="M734" s="1"/>
      <c r="N734" s="1"/>
      <c r="O734" s="1"/>
      <c r="P734" s="1"/>
    </row>
    <row r="735" spans="1:16" ht="15.75" customHeight="1">
      <c r="A735" s="1"/>
      <c r="C735" s="1"/>
      <c r="D735" s="1"/>
      <c r="E735" s="1"/>
      <c r="F735" s="1"/>
      <c r="G735" s="1"/>
      <c r="H735" s="1"/>
      <c r="J735" s="1"/>
      <c r="K735" s="1"/>
      <c r="L735" s="1"/>
      <c r="M735" s="1"/>
      <c r="N735" s="1"/>
      <c r="O735" s="1"/>
      <c r="P735" s="1"/>
    </row>
    <row r="736" spans="1:16" ht="15.75" customHeight="1">
      <c r="A736" s="1"/>
      <c r="C736" s="1"/>
      <c r="D736" s="1"/>
      <c r="E736" s="1"/>
      <c r="F736" s="1"/>
      <c r="G736" s="1"/>
      <c r="H736" s="1"/>
      <c r="J736" s="1"/>
      <c r="K736" s="1"/>
      <c r="L736" s="1"/>
      <c r="M736" s="1"/>
      <c r="N736" s="1"/>
      <c r="O736" s="1"/>
      <c r="P736" s="1"/>
    </row>
    <row r="737" spans="1:16" ht="15.75" customHeight="1">
      <c r="A737" s="1"/>
      <c r="C737" s="1"/>
      <c r="D737" s="1"/>
      <c r="E737" s="1"/>
      <c r="F737" s="1"/>
      <c r="G737" s="1"/>
      <c r="H737" s="1"/>
      <c r="J737" s="1"/>
      <c r="K737" s="1"/>
      <c r="L737" s="1"/>
      <c r="M737" s="1"/>
      <c r="N737" s="1"/>
      <c r="O737" s="1"/>
      <c r="P737" s="1"/>
    </row>
    <row r="738" spans="1:16" ht="15.75" customHeight="1">
      <c r="A738" s="1"/>
      <c r="C738" s="1"/>
      <c r="D738" s="1"/>
      <c r="E738" s="1"/>
      <c r="F738" s="1"/>
      <c r="G738" s="1"/>
      <c r="H738" s="1"/>
      <c r="J738" s="1"/>
      <c r="K738" s="1"/>
      <c r="L738" s="1"/>
      <c r="M738" s="1"/>
      <c r="N738" s="1"/>
      <c r="O738" s="1"/>
      <c r="P738" s="1"/>
    </row>
    <row r="739" spans="1:16" ht="15.75" customHeight="1">
      <c r="A739" s="1"/>
      <c r="C739" s="1"/>
      <c r="D739" s="1"/>
      <c r="E739" s="1"/>
      <c r="F739" s="1"/>
      <c r="G739" s="1"/>
      <c r="H739" s="1"/>
      <c r="J739" s="1"/>
      <c r="K739" s="1"/>
      <c r="L739" s="1"/>
      <c r="M739" s="1"/>
      <c r="N739" s="1"/>
      <c r="O739" s="1"/>
      <c r="P739" s="1"/>
    </row>
    <row r="740" spans="1:16" ht="15.75" customHeight="1">
      <c r="A740" s="1"/>
      <c r="C740" s="1"/>
      <c r="D740" s="1"/>
      <c r="E740" s="1"/>
      <c r="F740" s="1"/>
      <c r="G740" s="1"/>
      <c r="H740" s="1"/>
      <c r="J740" s="1"/>
      <c r="K740" s="1"/>
      <c r="L740" s="1"/>
      <c r="M740" s="1"/>
      <c r="N740" s="1"/>
      <c r="O740" s="1"/>
      <c r="P740" s="1"/>
    </row>
    <row r="741" spans="1:16" ht="15.75" customHeight="1">
      <c r="A741" s="1"/>
      <c r="C741" s="1"/>
      <c r="D741" s="1"/>
      <c r="E741" s="1"/>
      <c r="F741" s="1"/>
      <c r="G741" s="1"/>
      <c r="H741" s="1"/>
      <c r="J741" s="1"/>
      <c r="K741" s="1"/>
      <c r="L741" s="1"/>
      <c r="M741" s="1"/>
      <c r="N741" s="1"/>
      <c r="O741" s="1"/>
      <c r="P741" s="1"/>
    </row>
    <row r="742" spans="1:16" ht="15.75" customHeight="1">
      <c r="A742" s="1"/>
      <c r="C742" s="1"/>
      <c r="D742" s="1"/>
      <c r="E742" s="1"/>
      <c r="F742" s="1"/>
      <c r="G742" s="1"/>
      <c r="H742" s="1"/>
      <c r="J742" s="1"/>
      <c r="K742" s="1"/>
      <c r="L742" s="1"/>
      <c r="M742" s="1"/>
      <c r="N742" s="1"/>
      <c r="O742" s="1"/>
      <c r="P742" s="1"/>
    </row>
    <row r="743" spans="1:16" ht="15.75" customHeight="1">
      <c r="A743" s="1"/>
      <c r="C743" s="1"/>
      <c r="D743" s="1"/>
      <c r="E743" s="1"/>
      <c r="F743" s="1"/>
      <c r="G743" s="1"/>
      <c r="H743" s="1"/>
      <c r="J743" s="1"/>
      <c r="K743" s="1"/>
      <c r="L743" s="1"/>
      <c r="M743" s="1"/>
      <c r="N743" s="1"/>
      <c r="O743" s="1"/>
      <c r="P743" s="1"/>
    </row>
    <row r="744" spans="1:16" ht="15.75" customHeight="1">
      <c r="A744" s="1"/>
      <c r="C744" s="1"/>
      <c r="D744" s="1"/>
      <c r="E744" s="1"/>
      <c r="F744" s="1"/>
      <c r="G744" s="1"/>
      <c r="H744" s="1"/>
      <c r="J744" s="1"/>
      <c r="K744" s="1"/>
      <c r="L744" s="1"/>
      <c r="M744" s="1"/>
      <c r="N744" s="1"/>
      <c r="O744" s="1"/>
      <c r="P744" s="1"/>
    </row>
    <row r="745" spans="1:16" ht="15.75" customHeight="1">
      <c r="A745" s="1"/>
      <c r="C745" s="1"/>
      <c r="D745" s="1"/>
      <c r="E745" s="1"/>
      <c r="F745" s="1"/>
      <c r="G745" s="1"/>
      <c r="H745" s="1"/>
      <c r="J745" s="1"/>
      <c r="K745" s="1"/>
      <c r="L745" s="1"/>
      <c r="M745" s="1"/>
      <c r="N745" s="1"/>
      <c r="O745" s="1"/>
      <c r="P745" s="1"/>
    </row>
    <row r="746" spans="1:16" ht="15.75" customHeight="1">
      <c r="A746" s="1"/>
      <c r="C746" s="1"/>
      <c r="D746" s="1"/>
      <c r="E746" s="1"/>
      <c r="F746" s="1"/>
      <c r="G746" s="1"/>
      <c r="H746" s="1"/>
      <c r="J746" s="1"/>
      <c r="K746" s="1"/>
      <c r="L746" s="1"/>
      <c r="M746" s="1"/>
      <c r="N746" s="1"/>
      <c r="O746" s="1"/>
      <c r="P746" s="1"/>
    </row>
    <row r="747" spans="1:16" ht="15.75" customHeight="1">
      <c r="A747" s="1"/>
      <c r="C747" s="1"/>
      <c r="D747" s="1"/>
      <c r="E747" s="1"/>
      <c r="F747" s="1"/>
      <c r="G747" s="1"/>
      <c r="H747" s="1"/>
      <c r="J747" s="1"/>
      <c r="K747" s="1"/>
      <c r="L747" s="1"/>
      <c r="M747" s="1"/>
      <c r="N747" s="1"/>
      <c r="O747" s="1"/>
      <c r="P747" s="1"/>
    </row>
    <row r="748" spans="1:16" ht="15.75" customHeight="1">
      <c r="A748" s="1"/>
      <c r="C748" s="1"/>
      <c r="D748" s="1"/>
      <c r="E748" s="1"/>
      <c r="F748" s="1"/>
      <c r="G748" s="1"/>
      <c r="H748" s="1"/>
      <c r="J748" s="1"/>
      <c r="K748" s="1"/>
      <c r="L748" s="1"/>
      <c r="M748" s="1"/>
      <c r="N748" s="1"/>
      <c r="O748" s="1"/>
      <c r="P748" s="1"/>
    </row>
    <row r="749" spans="1:16" ht="15.75" customHeight="1">
      <c r="A749" s="1"/>
      <c r="C749" s="1"/>
      <c r="D749" s="1"/>
      <c r="E749" s="1"/>
      <c r="F749" s="1"/>
      <c r="G749" s="1"/>
      <c r="H749" s="1"/>
      <c r="J749" s="1"/>
      <c r="K749" s="1"/>
      <c r="L749" s="1"/>
      <c r="M749" s="1"/>
      <c r="N749" s="1"/>
      <c r="O749" s="1"/>
      <c r="P749" s="1"/>
    </row>
    <row r="750" spans="1:16" ht="15.75" customHeight="1">
      <c r="A750" s="1"/>
      <c r="C750" s="1"/>
      <c r="D750" s="1"/>
      <c r="E750" s="1"/>
      <c r="F750" s="1"/>
      <c r="G750" s="1"/>
      <c r="H750" s="1"/>
      <c r="J750" s="1"/>
      <c r="K750" s="1"/>
      <c r="L750" s="1"/>
      <c r="M750" s="1"/>
      <c r="N750" s="1"/>
      <c r="O750" s="1"/>
      <c r="P750" s="1"/>
    </row>
    <row r="751" spans="1:16" ht="15.75" customHeight="1">
      <c r="A751" s="1"/>
      <c r="C751" s="1"/>
      <c r="D751" s="1"/>
      <c r="E751" s="1"/>
      <c r="F751" s="1"/>
      <c r="G751" s="1"/>
      <c r="H751" s="1"/>
      <c r="J751" s="1"/>
      <c r="K751" s="1"/>
      <c r="L751" s="1"/>
      <c r="M751" s="1"/>
      <c r="N751" s="1"/>
      <c r="O751" s="1"/>
      <c r="P751" s="1"/>
    </row>
    <row r="752" spans="1:16" ht="15.75" customHeight="1">
      <c r="A752" s="1"/>
      <c r="C752" s="1"/>
      <c r="D752" s="1"/>
      <c r="E752" s="1"/>
      <c r="F752" s="1"/>
      <c r="G752" s="1"/>
      <c r="H752" s="1"/>
      <c r="J752" s="1"/>
      <c r="K752" s="1"/>
      <c r="L752" s="1"/>
      <c r="M752" s="1"/>
      <c r="N752" s="1"/>
      <c r="O752" s="1"/>
      <c r="P752" s="1"/>
    </row>
    <row r="753" spans="1:16" ht="15.75" customHeight="1">
      <c r="A753" s="1"/>
      <c r="C753" s="1"/>
      <c r="D753" s="1"/>
      <c r="E753" s="1"/>
      <c r="F753" s="1"/>
      <c r="G753" s="1"/>
      <c r="H753" s="1"/>
      <c r="J753" s="1"/>
      <c r="K753" s="1"/>
      <c r="L753" s="1"/>
      <c r="M753" s="1"/>
      <c r="N753" s="1"/>
      <c r="O753" s="1"/>
      <c r="P753" s="1"/>
    </row>
    <row r="754" spans="1:16" ht="15.75" customHeight="1">
      <c r="A754" s="1"/>
      <c r="C754" s="1"/>
      <c r="D754" s="1"/>
      <c r="E754" s="1"/>
      <c r="F754" s="1"/>
      <c r="G754" s="1"/>
      <c r="H754" s="1"/>
      <c r="J754" s="1"/>
      <c r="K754" s="1"/>
      <c r="L754" s="1"/>
      <c r="M754" s="1"/>
      <c r="N754" s="1"/>
      <c r="O754" s="1"/>
      <c r="P754" s="1"/>
    </row>
    <row r="755" spans="1:16" ht="15.75" customHeight="1">
      <c r="A755" s="1"/>
      <c r="C755" s="1"/>
      <c r="D755" s="1"/>
      <c r="E755" s="1"/>
      <c r="F755" s="1"/>
      <c r="G755" s="1"/>
      <c r="H755" s="1"/>
      <c r="J755" s="1"/>
      <c r="K755" s="1"/>
      <c r="L755" s="1"/>
      <c r="M755" s="1"/>
      <c r="N755" s="1"/>
      <c r="O755" s="1"/>
      <c r="P755" s="1"/>
    </row>
    <row r="756" spans="1:16" ht="15.75" customHeight="1">
      <c r="A756" s="1"/>
      <c r="C756" s="1"/>
      <c r="D756" s="1"/>
      <c r="E756" s="1"/>
      <c r="F756" s="1"/>
      <c r="G756" s="1"/>
      <c r="H756" s="1"/>
      <c r="J756" s="1"/>
      <c r="K756" s="1"/>
      <c r="L756" s="1"/>
      <c r="M756" s="1"/>
      <c r="N756" s="1"/>
      <c r="O756" s="1"/>
      <c r="P756" s="1"/>
    </row>
    <row r="757" spans="1:16" ht="15.75" customHeight="1">
      <c r="A757" s="1"/>
      <c r="C757" s="1"/>
      <c r="D757" s="1"/>
      <c r="E757" s="1"/>
      <c r="F757" s="1"/>
      <c r="G757" s="1"/>
      <c r="H757" s="1"/>
      <c r="J757" s="1"/>
      <c r="K757" s="1"/>
      <c r="L757" s="1"/>
      <c r="M757" s="1"/>
      <c r="N757" s="1"/>
      <c r="O757" s="1"/>
      <c r="P757" s="1"/>
    </row>
    <row r="758" spans="1:16" ht="15.75" customHeight="1">
      <c r="A758" s="1"/>
      <c r="C758" s="1"/>
      <c r="D758" s="1"/>
      <c r="E758" s="1"/>
      <c r="F758" s="1"/>
      <c r="G758" s="1"/>
      <c r="H758" s="1"/>
      <c r="J758" s="1"/>
      <c r="K758" s="1"/>
      <c r="L758" s="1"/>
      <c r="M758" s="1"/>
      <c r="N758" s="1"/>
      <c r="O758" s="1"/>
      <c r="P758" s="1"/>
    </row>
    <row r="759" spans="1:16" ht="15.75" customHeight="1">
      <c r="A759" s="1"/>
      <c r="C759" s="1"/>
      <c r="D759" s="1"/>
      <c r="E759" s="1"/>
      <c r="F759" s="1"/>
      <c r="G759" s="1"/>
      <c r="H759" s="1"/>
      <c r="J759" s="1"/>
      <c r="K759" s="1"/>
      <c r="L759" s="1"/>
      <c r="M759" s="1"/>
      <c r="N759" s="1"/>
      <c r="O759" s="1"/>
      <c r="P759" s="1"/>
    </row>
    <row r="760" spans="1:16" ht="15.75" customHeight="1">
      <c r="A760" s="1"/>
      <c r="C760" s="1"/>
      <c r="D760" s="1"/>
      <c r="E760" s="1"/>
      <c r="F760" s="1"/>
      <c r="G760" s="1"/>
      <c r="H760" s="1"/>
      <c r="J760" s="1"/>
      <c r="K760" s="1"/>
      <c r="L760" s="1"/>
      <c r="M760" s="1"/>
      <c r="N760" s="1"/>
      <c r="O760" s="1"/>
      <c r="P760" s="1"/>
    </row>
    <row r="761" spans="1:16" ht="15.75" customHeight="1">
      <c r="A761" s="1"/>
      <c r="C761" s="1"/>
      <c r="D761" s="1"/>
      <c r="E761" s="1"/>
      <c r="F761" s="1"/>
      <c r="G761" s="1"/>
      <c r="H761" s="1"/>
      <c r="J761" s="1"/>
      <c r="K761" s="1"/>
      <c r="L761" s="1"/>
      <c r="M761" s="1"/>
      <c r="N761" s="1"/>
      <c r="O761" s="1"/>
      <c r="P761" s="1"/>
    </row>
    <row r="762" spans="1:16" ht="15.75" customHeight="1">
      <c r="A762" s="1"/>
      <c r="C762" s="1"/>
      <c r="D762" s="1"/>
      <c r="E762" s="1"/>
      <c r="F762" s="1"/>
      <c r="G762" s="1"/>
      <c r="H762" s="1"/>
      <c r="J762" s="1"/>
      <c r="K762" s="1"/>
      <c r="L762" s="1"/>
      <c r="M762" s="1"/>
      <c r="N762" s="1"/>
      <c r="O762" s="1"/>
      <c r="P762" s="1"/>
    </row>
    <row r="763" spans="1:16" ht="15.75" customHeight="1">
      <c r="A763" s="1"/>
      <c r="C763" s="1"/>
      <c r="D763" s="1"/>
      <c r="E763" s="1"/>
      <c r="F763" s="1"/>
      <c r="G763" s="1"/>
      <c r="H763" s="1"/>
      <c r="J763" s="1"/>
      <c r="K763" s="1"/>
      <c r="L763" s="1"/>
      <c r="M763" s="1"/>
      <c r="N763" s="1"/>
      <c r="O763" s="1"/>
      <c r="P763" s="1"/>
    </row>
    <row r="764" spans="1:16" ht="15.75" customHeight="1">
      <c r="A764" s="1"/>
      <c r="C764" s="1"/>
      <c r="D764" s="1"/>
      <c r="E764" s="1"/>
      <c r="F764" s="1"/>
      <c r="G764" s="1"/>
      <c r="H764" s="1"/>
      <c r="J764" s="1"/>
      <c r="K764" s="1"/>
      <c r="L764" s="1"/>
      <c r="M764" s="1"/>
      <c r="N764" s="1"/>
      <c r="O764" s="1"/>
      <c r="P764" s="1"/>
    </row>
    <row r="765" spans="1:16" ht="15.75" customHeight="1">
      <c r="A765" s="1"/>
      <c r="C765" s="1"/>
      <c r="D765" s="1"/>
      <c r="E765" s="1"/>
      <c r="F765" s="1"/>
      <c r="G765" s="1"/>
      <c r="H765" s="1"/>
      <c r="J765" s="1"/>
      <c r="K765" s="1"/>
      <c r="L765" s="1"/>
      <c r="M765" s="1"/>
      <c r="N765" s="1"/>
      <c r="O765" s="1"/>
      <c r="P765" s="1"/>
    </row>
    <row r="766" spans="1:16" ht="15.75" customHeight="1">
      <c r="A766" s="1"/>
      <c r="C766" s="1"/>
      <c r="D766" s="1"/>
      <c r="E766" s="1"/>
      <c r="F766" s="1"/>
      <c r="G766" s="1"/>
      <c r="H766" s="1"/>
      <c r="J766" s="1"/>
      <c r="K766" s="1"/>
      <c r="L766" s="1"/>
      <c r="M766" s="1"/>
      <c r="N766" s="1"/>
      <c r="O766" s="1"/>
      <c r="P766" s="1"/>
    </row>
    <row r="767" spans="1:16" ht="15.75" customHeight="1">
      <c r="A767" s="1"/>
      <c r="C767" s="1"/>
      <c r="D767" s="1"/>
      <c r="E767" s="1"/>
      <c r="F767" s="1"/>
      <c r="G767" s="1"/>
      <c r="H767" s="1"/>
      <c r="J767" s="1"/>
      <c r="K767" s="1"/>
      <c r="L767" s="1"/>
      <c r="M767" s="1"/>
      <c r="N767" s="1"/>
      <c r="O767" s="1"/>
      <c r="P767" s="1"/>
    </row>
    <row r="768" spans="1:16" ht="15.75" customHeight="1">
      <c r="A768" s="1"/>
      <c r="C768" s="1"/>
      <c r="D768" s="1"/>
      <c r="E768" s="1"/>
      <c r="F768" s="1"/>
      <c r="G768" s="1"/>
      <c r="H768" s="1"/>
      <c r="J768" s="1"/>
      <c r="K768" s="1"/>
      <c r="L768" s="1"/>
      <c r="M768" s="1"/>
      <c r="N768" s="1"/>
      <c r="O768" s="1"/>
      <c r="P768" s="1"/>
    </row>
    <row r="769" spans="1:16" ht="15.75" customHeight="1">
      <c r="A769" s="1"/>
      <c r="C769" s="1"/>
      <c r="D769" s="1"/>
      <c r="E769" s="1"/>
      <c r="F769" s="1"/>
      <c r="G769" s="1"/>
      <c r="H769" s="1"/>
      <c r="J769" s="1"/>
      <c r="K769" s="1"/>
      <c r="L769" s="1"/>
      <c r="M769" s="1"/>
      <c r="N769" s="1"/>
      <c r="O769" s="1"/>
      <c r="P769" s="1"/>
    </row>
    <row r="770" spans="1:16" ht="15.75" customHeight="1">
      <c r="A770" s="1"/>
      <c r="C770" s="1"/>
      <c r="D770" s="1"/>
      <c r="E770" s="1"/>
      <c r="F770" s="1"/>
      <c r="G770" s="1"/>
      <c r="H770" s="1"/>
      <c r="J770" s="1"/>
      <c r="K770" s="1"/>
      <c r="L770" s="1"/>
      <c r="M770" s="1"/>
      <c r="N770" s="1"/>
      <c r="O770" s="1"/>
      <c r="P770" s="1"/>
    </row>
    <row r="771" spans="1:16" ht="15.75" customHeight="1">
      <c r="A771" s="1"/>
      <c r="C771" s="1"/>
      <c r="D771" s="1"/>
      <c r="E771" s="1"/>
      <c r="F771" s="1"/>
      <c r="G771" s="1"/>
      <c r="H771" s="1"/>
      <c r="J771" s="1"/>
      <c r="K771" s="1"/>
      <c r="L771" s="1"/>
      <c r="M771" s="1"/>
      <c r="N771" s="1"/>
      <c r="O771" s="1"/>
      <c r="P771" s="1"/>
    </row>
    <row r="772" spans="1:16" ht="15.75" customHeight="1">
      <c r="A772" s="1"/>
      <c r="C772" s="1"/>
      <c r="D772" s="1"/>
      <c r="E772" s="1"/>
      <c r="F772" s="1"/>
      <c r="G772" s="1"/>
      <c r="H772" s="1"/>
      <c r="J772" s="1"/>
      <c r="K772" s="1"/>
      <c r="L772" s="1"/>
      <c r="M772" s="1"/>
      <c r="N772" s="1"/>
      <c r="O772" s="1"/>
      <c r="P772" s="1"/>
    </row>
    <row r="773" spans="1:16" ht="15.75" customHeight="1">
      <c r="A773" s="1"/>
      <c r="C773" s="1"/>
      <c r="D773" s="1"/>
      <c r="E773" s="1"/>
      <c r="F773" s="1"/>
      <c r="G773" s="1"/>
      <c r="H773" s="1"/>
      <c r="J773" s="1"/>
      <c r="K773" s="1"/>
      <c r="L773" s="1"/>
      <c r="M773" s="1"/>
      <c r="N773" s="1"/>
      <c r="O773" s="1"/>
      <c r="P773" s="1"/>
    </row>
    <row r="774" spans="1:16" ht="15.75" customHeight="1">
      <c r="A774" s="1"/>
      <c r="C774" s="1"/>
      <c r="D774" s="1"/>
      <c r="E774" s="1"/>
      <c r="F774" s="1"/>
      <c r="G774" s="1"/>
      <c r="H774" s="1"/>
      <c r="J774" s="1"/>
      <c r="K774" s="1"/>
      <c r="L774" s="1"/>
      <c r="M774" s="1"/>
      <c r="N774" s="1"/>
      <c r="O774" s="1"/>
      <c r="P774" s="1"/>
    </row>
    <row r="775" spans="1:16" ht="15.75" customHeight="1">
      <c r="A775" s="1"/>
      <c r="C775" s="1"/>
      <c r="D775" s="1"/>
      <c r="E775" s="1"/>
      <c r="F775" s="1"/>
      <c r="G775" s="1"/>
      <c r="H775" s="1"/>
      <c r="J775" s="1"/>
      <c r="K775" s="1"/>
      <c r="L775" s="1"/>
      <c r="M775" s="1"/>
      <c r="N775" s="1"/>
      <c r="O775" s="1"/>
      <c r="P775" s="1"/>
    </row>
    <row r="776" spans="1:16" ht="15.75" customHeight="1">
      <c r="A776" s="1"/>
      <c r="C776" s="1"/>
      <c r="D776" s="1"/>
      <c r="E776" s="1"/>
      <c r="F776" s="1"/>
      <c r="G776" s="1"/>
      <c r="H776" s="1"/>
      <c r="J776" s="1"/>
      <c r="K776" s="1"/>
      <c r="L776" s="1"/>
      <c r="M776" s="1"/>
      <c r="N776" s="1"/>
      <c r="O776" s="1"/>
      <c r="P776" s="1"/>
    </row>
    <row r="777" spans="1:16" ht="15.75" customHeight="1">
      <c r="A777" s="1"/>
      <c r="C777" s="1"/>
      <c r="D777" s="1"/>
      <c r="E777" s="1"/>
      <c r="F777" s="1"/>
      <c r="G777" s="1"/>
      <c r="H777" s="1"/>
      <c r="J777" s="1"/>
      <c r="K777" s="1"/>
      <c r="L777" s="1"/>
      <c r="M777" s="1"/>
      <c r="N777" s="1"/>
      <c r="O777" s="1"/>
      <c r="P777" s="1"/>
    </row>
    <row r="778" spans="1:16" ht="15.75" customHeight="1">
      <c r="A778" s="1"/>
      <c r="C778" s="1"/>
      <c r="D778" s="1"/>
      <c r="E778" s="1"/>
      <c r="F778" s="1"/>
      <c r="G778" s="1"/>
      <c r="H778" s="1"/>
      <c r="J778" s="1"/>
      <c r="K778" s="1"/>
      <c r="L778" s="1"/>
      <c r="M778" s="1"/>
      <c r="N778" s="1"/>
      <c r="O778" s="1"/>
      <c r="P778" s="1"/>
    </row>
    <row r="779" spans="1:16" ht="15.75" customHeight="1">
      <c r="A779" s="1"/>
      <c r="C779" s="1"/>
      <c r="D779" s="1"/>
      <c r="E779" s="1"/>
      <c r="F779" s="1"/>
      <c r="G779" s="1"/>
      <c r="H779" s="1"/>
      <c r="J779" s="1"/>
      <c r="K779" s="1"/>
      <c r="L779" s="1"/>
      <c r="M779" s="1"/>
      <c r="N779" s="1"/>
      <c r="O779" s="1"/>
      <c r="P779" s="1"/>
    </row>
    <row r="780" spans="1:16" ht="15.75" customHeight="1">
      <c r="A780" s="1"/>
      <c r="C780" s="1"/>
      <c r="D780" s="1"/>
      <c r="E780" s="1"/>
      <c r="F780" s="1"/>
      <c r="G780" s="1"/>
      <c r="H780" s="1"/>
      <c r="J780" s="1"/>
      <c r="K780" s="1"/>
      <c r="L780" s="1"/>
      <c r="M780" s="1"/>
      <c r="N780" s="1"/>
      <c r="O780" s="1"/>
      <c r="P780" s="1"/>
    </row>
    <row r="781" spans="1:16" ht="15.75" customHeight="1">
      <c r="A781" s="1"/>
      <c r="C781" s="1"/>
      <c r="D781" s="1"/>
      <c r="E781" s="1"/>
      <c r="F781" s="1"/>
      <c r="G781" s="1"/>
      <c r="H781" s="1"/>
      <c r="J781" s="1"/>
      <c r="K781" s="1"/>
      <c r="L781" s="1"/>
      <c r="M781" s="1"/>
      <c r="N781" s="1"/>
      <c r="O781" s="1"/>
      <c r="P781" s="1"/>
    </row>
    <row r="782" spans="1:16" ht="15.75" customHeight="1">
      <c r="A782" s="1"/>
      <c r="C782" s="1"/>
      <c r="D782" s="1"/>
      <c r="E782" s="1"/>
      <c r="F782" s="1"/>
      <c r="G782" s="1"/>
      <c r="H782" s="1"/>
      <c r="J782" s="1"/>
      <c r="K782" s="1"/>
      <c r="L782" s="1"/>
      <c r="M782" s="1"/>
      <c r="N782" s="1"/>
      <c r="O782" s="1"/>
      <c r="P782" s="1"/>
    </row>
    <row r="783" spans="1:16" ht="15.75" customHeight="1">
      <c r="A783" s="1"/>
      <c r="C783" s="1"/>
      <c r="D783" s="1"/>
      <c r="E783" s="1"/>
      <c r="F783" s="1"/>
      <c r="G783" s="1"/>
      <c r="H783" s="1"/>
      <c r="J783" s="1"/>
      <c r="K783" s="1"/>
      <c r="L783" s="1"/>
      <c r="M783" s="1"/>
      <c r="N783" s="1"/>
      <c r="O783" s="1"/>
      <c r="P783" s="1"/>
    </row>
    <row r="784" spans="1:16" ht="15.75" customHeight="1">
      <c r="A784" s="1"/>
      <c r="C784" s="1"/>
      <c r="D784" s="1"/>
      <c r="E784" s="1"/>
      <c r="F784" s="1"/>
      <c r="G784" s="1"/>
      <c r="H784" s="1"/>
      <c r="J784" s="1"/>
      <c r="K784" s="1"/>
      <c r="L784" s="1"/>
      <c r="M784" s="1"/>
      <c r="N784" s="1"/>
      <c r="O784" s="1"/>
      <c r="P784" s="1"/>
    </row>
    <row r="785" spans="1:16" ht="15.75" customHeight="1">
      <c r="A785" s="1"/>
      <c r="C785" s="1"/>
      <c r="D785" s="1"/>
      <c r="E785" s="1"/>
      <c r="F785" s="1"/>
      <c r="G785" s="1"/>
      <c r="H785" s="1"/>
      <c r="J785" s="1"/>
      <c r="K785" s="1"/>
      <c r="L785" s="1"/>
      <c r="M785" s="1"/>
      <c r="N785" s="1"/>
      <c r="O785" s="1"/>
      <c r="P785" s="1"/>
    </row>
    <row r="786" spans="1:16" ht="15.75" customHeight="1">
      <c r="A786" s="1"/>
      <c r="C786" s="1"/>
      <c r="D786" s="1"/>
      <c r="E786" s="1"/>
      <c r="F786" s="1"/>
      <c r="G786" s="1"/>
      <c r="H786" s="1"/>
      <c r="J786" s="1"/>
      <c r="K786" s="1"/>
      <c r="L786" s="1"/>
      <c r="M786" s="1"/>
      <c r="N786" s="1"/>
      <c r="O786" s="1"/>
      <c r="P786" s="1"/>
    </row>
    <row r="787" spans="1:16" ht="15.75" customHeight="1">
      <c r="A787" s="1"/>
      <c r="C787" s="1"/>
      <c r="D787" s="1"/>
      <c r="E787" s="1"/>
      <c r="F787" s="1"/>
      <c r="G787" s="1"/>
      <c r="H787" s="1"/>
      <c r="J787" s="1"/>
      <c r="K787" s="1"/>
      <c r="L787" s="1"/>
      <c r="M787" s="1"/>
      <c r="N787" s="1"/>
      <c r="O787" s="1"/>
      <c r="P787" s="1"/>
    </row>
    <row r="788" spans="1:16" ht="15.75" customHeight="1">
      <c r="A788" s="1"/>
      <c r="C788" s="1"/>
      <c r="D788" s="1"/>
      <c r="E788" s="1"/>
      <c r="F788" s="1"/>
      <c r="G788" s="1"/>
      <c r="H788" s="1"/>
      <c r="J788" s="1"/>
      <c r="K788" s="1"/>
      <c r="L788" s="1"/>
      <c r="M788" s="1"/>
      <c r="N788" s="1"/>
      <c r="O788" s="1"/>
      <c r="P788" s="1"/>
    </row>
    <row r="789" spans="1:16" ht="15.75" customHeight="1">
      <c r="A789" s="1"/>
      <c r="C789" s="1"/>
      <c r="D789" s="1"/>
      <c r="E789" s="1"/>
      <c r="F789" s="1"/>
      <c r="G789" s="1"/>
      <c r="H789" s="1"/>
      <c r="J789" s="1"/>
      <c r="K789" s="1"/>
      <c r="L789" s="1"/>
      <c r="M789" s="1"/>
      <c r="N789" s="1"/>
      <c r="O789" s="1"/>
      <c r="P789" s="1"/>
    </row>
    <row r="790" spans="1:16" ht="15.75" customHeight="1">
      <c r="A790" s="1"/>
      <c r="C790" s="1"/>
      <c r="D790" s="1"/>
      <c r="E790" s="1"/>
      <c r="F790" s="1"/>
      <c r="G790" s="1"/>
      <c r="H790" s="1"/>
      <c r="J790" s="1"/>
      <c r="K790" s="1"/>
      <c r="L790" s="1"/>
      <c r="M790" s="1"/>
      <c r="N790" s="1"/>
      <c r="O790" s="1"/>
      <c r="P790" s="1"/>
    </row>
    <row r="791" spans="1:16" ht="15.75" customHeight="1">
      <c r="A791" s="1"/>
      <c r="C791" s="1"/>
      <c r="D791" s="1"/>
      <c r="E791" s="1"/>
      <c r="F791" s="1"/>
      <c r="G791" s="1"/>
      <c r="H791" s="1"/>
      <c r="J791" s="1"/>
      <c r="K791" s="1"/>
      <c r="L791" s="1"/>
      <c r="M791" s="1"/>
      <c r="N791" s="1"/>
      <c r="O791" s="1"/>
      <c r="P791" s="1"/>
    </row>
    <row r="792" spans="1:16" ht="15.75" customHeight="1">
      <c r="A792" s="1"/>
      <c r="C792" s="1"/>
      <c r="D792" s="1"/>
      <c r="E792" s="1"/>
      <c r="F792" s="1"/>
      <c r="G792" s="1"/>
      <c r="H792" s="1"/>
      <c r="J792" s="1"/>
      <c r="K792" s="1"/>
      <c r="L792" s="1"/>
      <c r="M792" s="1"/>
      <c r="N792" s="1"/>
      <c r="O792" s="1"/>
      <c r="P792" s="1"/>
    </row>
    <row r="793" spans="1:16" ht="15.75" customHeight="1">
      <c r="A793" s="1"/>
      <c r="C793" s="1"/>
      <c r="D793" s="1"/>
      <c r="E793" s="1"/>
      <c r="F793" s="1"/>
      <c r="G793" s="1"/>
      <c r="H793" s="1"/>
      <c r="J793" s="1"/>
      <c r="K793" s="1"/>
      <c r="L793" s="1"/>
      <c r="M793" s="1"/>
      <c r="N793" s="1"/>
      <c r="O793" s="1"/>
      <c r="P793" s="1"/>
    </row>
    <row r="794" spans="1:16" ht="15.75" customHeight="1">
      <c r="A794" s="1"/>
      <c r="C794" s="1"/>
      <c r="D794" s="1"/>
      <c r="E794" s="1"/>
      <c r="F794" s="1"/>
      <c r="G794" s="1"/>
      <c r="H794" s="1"/>
      <c r="J794" s="1"/>
      <c r="K794" s="1"/>
      <c r="L794" s="1"/>
      <c r="M794" s="1"/>
      <c r="N794" s="1"/>
      <c r="O794" s="1"/>
      <c r="P794" s="1"/>
    </row>
    <row r="795" spans="1:16" ht="15.75" customHeight="1">
      <c r="A795" s="1"/>
      <c r="C795" s="1"/>
      <c r="D795" s="1"/>
      <c r="E795" s="1"/>
      <c r="F795" s="1"/>
      <c r="G795" s="1"/>
      <c r="H795" s="1"/>
      <c r="J795" s="1"/>
      <c r="K795" s="1"/>
      <c r="L795" s="1"/>
      <c r="M795" s="1"/>
      <c r="N795" s="1"/>
      <c r="O795" s="1"/>
      <c r="P795" s="1"/>
    </row>
    <row r="796" spans="1:16" ht="15.75" customHeight="1">
      <c r="A796" s="1"/>
      <c r="C796" s="1"/>
      <c r="D796" s="1"/>
      <c r="E796" s="1"/>
      <c r="F796" s="1"/>
      <c r="G796" s="1"/>
      <c r="H796" s="1"/>
      <c r="J796" s="1"/>
      <c r="K796" s="1"/>
      <c r="L796" s="1"/>
      <c r="M796" s="1"/>
      <c r="N796" s="1"/>
      <c r="O796" s="1"/>
      <c r="P796" s="1"/>
    </row>
    <row r="797" spans="1:16" ht="15.75" customHeight="1">
      <c r="A797" s="1"/>
      <c r="C797" s="1"/>
      <c r="D797" s="1"/>
      <c r="E797" s="1"/>
      <c r="F797" s="1"/>
      <c r="G797" s="1"/>
      <c r="H797" s="1"/>
      <c r="J797" s="1"/>
      <c r="K797" s="1"/>
      <c r="L797" s="1"/>
      <c r="M797" s="1"/>
      <c r="N797" s="1"/>
      <c r="O797" s="1"/>
      <c r="P797" s="1"/>
    </row>
    <row r="798" spans="1:16" ht="15.75" customHeight="1">
      <c r="A798" s="1"/>
      <c r="C798" s="1"/>
      <c r="D798" s="1"/>
      <c r="E798" s="1"/>
      <c r="F798" s="1"/>
      <c r="G798" s="1"/>
      <c r="H798" s="1"/>
      <c r="J798" s="1"/>
      <c r="K798" s="1"/>
      <c r="L798" s="1"/>
      <c r="M798" s="1"/>
      <c r="N798" s="1"/>
      <c r="O798" s="1"/>
      <c r="P798" s="1"/>
    </row>
    <row r="799" spans="1:16" ht="15.75" customHeight="1">
      <c r="A799" s="1"/>
      <c r="C799" s="1"/>
      <c r="D799" s="1"/>
      <c r="E799" s="1"/>
      <c r="F799" s="1"/>
      <c r="G799" s="1"/>
      <c r="H799" s="1"/>
      <c r="J799" s="1"/>
      <c r="K799" s="1"/>
      <c r="L799" s="1"/>
      <c r="M799" s="1"/>
      <c r="N799" s="1"/>
      <c r="O799" s="1"/>
      <c r="P799" s="1"/>
    </row>
    <row r="800" spans="1:16" ht="15.75" customHeight="1">
      <c r="A800" s="1"/>
      <c r="C800" s="1"/>
      <c r="D800" s="1"/>
      <c r="E800" s="1"/>
      <c r="F800" s="1"/>
      <c r="G800" s="1"/>
      <c r="H800" s="1"/>
      <c r="J800" s="1"/>
      <c r="K800" s="1"/>
      <c r="L800" s="1"/>
      <c r="M800" s="1"/>
      <c r="N800" s="1"/>
      <c r="O800" s="1"/>
      <c r="P800" s="1"/>
    </row>
    <row r="801" spans="1:16" ht="15.75" customHeight="1">
      <c r="A801" s="1"/>
      <c r="C801" s="1"/>
      <c r="D801" s="1"/>
      <c r="E801" s="1"/>
      <c r="F801" s="1"/>
      <c r="G801" s="1"/>
      <c r="H801" s="1"/>
      <c r="J801" s="1"/>
      <c r="K801" s="1"/>
      <c r="L801" s="1"/>
      <c r="M801" s="1"/>
      <c r="N801" s="1"/>
      <c r="O801" s="1"/>
      <c r="P801" s="1"/>
    </row>
    <row r="802" spans="1:16" ht="15.75" customHeight="1">
      <c r="A802" s="1"/>
      <c r="C802" s="1"/>
      <c r="D802" s="1"/>
      <c r="E802" s="1"/>
      <c r="F802" s="1"/>
      <c r="G802" s="1"/>
      <c r="H802" s="1"/>
      <c r="J802" s="1"/>
      <c r="K802" s="1"/>
      <c r="L802" s="1"/>
      <c r="M802" s="1"/>
      <c r="N802" s="1"/>
      <c r="O802" s="1"/>
      <c r="P802" s="1"/>
    </row>
    <row r="803" spans="1:16" ht="15.75" customHeight="1">
      <c r="A803" s="1"/>
      <c r="C803" s="1"/>
      <c r="D803" s="1"/>
      <c r="E803" s="1"/>
      <c r="F803" s="1"/>
      <c r="G803" s="1"/>
      <c r="H803" s="1"/>
      <c r="J803" s="1"/>
      <c r="K803" s="1"/>
      <c r="L803" s="1"/>
      <c r="M803" s="1"/>
      <c r="N803" s="1"/>
      <c r="O803" s="1"/>
      <c r="P803" s="1"/>
    </row>
    <row r="804" spans="1:16" ht="15.75" customHeight="1">
      <c r="A804" s="1"/>
      <c r="C804" s="1"/>
      <c r="D804" s="1"/>
      <c r="E804" s="1"/>
      <c r="F804" s="1"/>
      <c r="G804" s="1"/>
      <c r="H804" s="1"/>
      <c r="J804" s="1"/>
      <c r="K804" s="1"/>
      <c r="L804" s="1"/>
      <c r="M804" s="1"/>
      <c r="N804" s="1"/>
      <c r="O804" s="1"/>
      <c r="P804" s="1"/>
    </row>
    <row r="805" spans="1:16" ht="15.75" customHeight="1">
      <c r="A805" s="1"/>
      <c r="C805" s="1"/>
      <c r="D805" s="1"/>
      <c r="E805" s="1"/>
      <c r="F805" s="1"/>
      <c r="G805" s="1"/>
      <c r="H805" s="1"/>
      <c r="J805" s="1"/>
      <c r="K805" s="1"/>
      <c r="L805" s="1"/>
      <c r="M805" s="1"/>
      <c r="N805" s="1"/>
      <c r="O805" s="1"/>
      <c r="P805" s="1"/>
    </row>
    <row r="806" spans="1:16" ht="15.75" customHeight="1">
      <c r="A806" s="1"/>
      <c r="C806" s="1"/>
      <c r="D806" s="1"/>
      <c r="E806" s="1"/>
      <c r="F806" s="1"/>
      <c r="G806" s="1"/>
      <c r="H806" s="1"/>
      <c r="J806" s="1"/>
      <c r="K806" s="1"/>
      <c r="L806" s="1"/>
      <c r="M806" s="1"/>
      <c r="N806" s="1"/>
      <c r="O806" s="1"/>
      <c r="P806" s="1"/>
    </row>
    <row r="807" spans="1:16" ht="15.75" customHeight="1">
      <c r="A807" s="1"/>
      <c r="C807" s="1"/>
      <c r="D807" s="1"/>
      <c r="E807" s="1"/>
      <c r="F807" s="1"/>
      <c r="G807" s="1"/>
      <c r="H807" s="1"/>
      <c r="J807" s="1"/>
      <c r="K807" s="1"/>
      <c r="L807" s="1"/>
      <c r="M807" s="1"/>
      <c r="N807" s="1"/>
      <c r="O807" s="1"/>
      <c r="P807" s="1"/>
    </row>
    <row r="808" spans="1:16" ht="15.75" customHeight="1">
      <c r="A808" s="1"/>
      <c r="C808" s="1"/>
      <c r="D808" s="1"/>
      <c r="E808" s="1"/>
      <c r="F808" s="1"/>
      <c r="G808" s="1"/>
      <c r="H808" s="1"/>
      <c r="J808" s="1"/>
      <c r="K808" s="1"/>
      <c r="L808" s="1"/>
      <c r="M808" s="1"/>
      <c r="N808" s="1"/>
      <c r="O808" s="1"/>
      <c r="P808" s="1"/>
    </row>
    <row r="809" spans="1:16" ht="15.75" customHeight="1">
      <c r="A809" s="1"/>
      <c r="C809" s="1"/>
      <c r="D809" s="1"/>
      <c r="E809" s="1"/>
      <c r="F809" s="1"/>
      <c r="G809" s="1"/>
      <c r="H809" s="1"/>
      <c r="J809" s="1"/>
      <c r="K809" s="1"/>
      <c r="L809" s="1"/>
      <c r="M809" s="1"/>
      <c r="N809" s="1"/>
      <c r="O809" s="1"/>
      <c r="P809" s="1"/>
    </row>
    <row r="810" spans="1:16" ht="15.75" customHeight="1">
      <c r="A810" s="1"/>
      <c r="C810" s="1"/>
      <c r="D810" s="1"/>
      <c r="E810" s="1"/>
      <c r="F810" s="1"/>
      <c r="G810" s="1"/>
      <c r="H810" s="1"/>
      <c r="J810" s="1"/>
      <c r="K810" s="1"/>
      <c r="L810" s="1"/>
      <c r="M810" s="1"/>
      <c r="N810" s="1"/>
      <c r="O810" s="1"/>
      <c r="P810" s="1"/>
    </row>
    <row r="811" spans="1:16" ht="15.75" customHeight="1">
      <c r="A811" s="1"/>
      <c r="C811" s="1"/>
      <c r="D811" s="1"/>
      <c r="E811" s="1"/>
      <c r="F811" s="1"/>
      <c r="G811" s="1"/>
      <c r="H811" s="1"/>
      <c r="J811" s="1"/>
      <c r="K811" s="1"/>
      <c r="L811" s="1"/>
      <c r="M811" s="1"/>
      <c r="N811" s="1"/>
      <c r="O811" s="1"/>
      <c r="P811" s="1"/>
    </row>
    <row r="812" spans="1:16" ht="15.75" customHeight="1">
      <c r="A812" s="1"/>
      <c r="C812" s="1"/>
      <c r="D812" s="1"/>
      <c r="E812" s="1"/>
      <c r="F812" s="1"/>
      <c r="G812" s="1"/>
      <c r="H812" s="1"/>
      <c r="J812" s="1"/>
      <c r="K812" s="1"/>
      <c r="L812" s="1"/>
      <c r="M812" s="1"/>
      <c r="N812" s="1"/>
      <c r="O812" s="1"/>
      <c r="P812" s="1"/>
    </row>
    <row r="813" spans="1:16" ht="15.75" customHeight="1">
      <c r="A813" s="1"/>
      <c r="C813" s="1"/>
      <c r="D813" s="1"/>
      <c r="E813" s="1"/>
      <c r="F813" s="1"/>
      <c r="G813" s="1"/>
      <c r="H813" s="1"/>
      <c r="J813" s="1"/>
      <c r="K813" s="1"/>
      <c r="L813" s="1"/>
      <c r="M813" s="1"/>
      <c r="N813" s="1"/>
      <c r="O813" s="1"/>
      <c r="P813" s="1"/>
    </row>
    <row r="814" spans="1:16" ht="15.75" customHeight="1">
      <c r="A814" s="1"/>
      <c r="C814" s="1"/>
      <c r="D814" s="1"/>
      <c r="E814" s="1"/>
      <c r="F814" s="1"/>
      <c r="G814" s="1"/>
      <c r="H814" s="1"/>
      <c r="J814" s="1"/>
      <c r="K814" s="1"/>
      <c r="L814" s="1"/>
      <c r="M814" s="1"/>
      <c r="N814" s="1"/>
      <c r="O814" s="1"/>
      <c r="P814" s="1"/>
    </row>
    <row r="815" spans="1:16" ht="15.75" customHeight="1">
      <c r="A815" s="1"/>
      <c r="C815" s="1"/>
      <c r="D815" s="1"/>
      <c r="E815" s="1"/>
      <c r="F815" s="1"/>
      <c r="G815" s="1"/>
      <c r="H815" s="1"/>
      <c r="J815" s="1"/>
      <c r="K815" s="1"/>
      <c r="L815" s="1"/>
      <c r="M815" s="1"/>
      <c r="N815" s="1"/>
      <c r="O815" s="1"/>
      <c r="P815" s="1"/>
    </row>
    <row r="816" spans="1:16" ht="15.75" customHeight="1">
      <c r="A816" s="1"/>
      <c r="C816" s="1"/>
      <c r="D816" s="1"/>
      <c r="E816" s="1"/>
      <c r="F816" s="1"/>
      <c r="G816" s="1"/>
      <c r="H816" s="1"/>
      <c r="J816" s="1"/>
      <c r="K816" s="1"/>
      <c r="L816" s="1"/>
      <c r="M816" s="1"/>
      <c r="N816" s="1"/>
      <c r="O816" s="1"/>
      <c r="P816" s="1"/>
    </row>
    <row r="817" spans="1:16" ht="15.75" customHeight="1">
      <c r="A817" s="1"/>
      <c r="C817" s="1"/>
      <c r="D817" s="1"/>
      <c r="E817" s="1"/>
      <c r="F817" s="1"/>
      <c r="G817" s="1"/>
      <c r="H817" s="1"/>
      <c r="J817" s="1"/>
      <c r="K817" s="1"/>
      <c r="L817" s="1"/>
      <c r="M817" s="1"/>
      <c r="N817" s="1"/>
      <c r="O817" s="1"/>
      <c r="P817" s="1"/>
    </row>
    <row r="818" spans="1:16" ht="15.75" customHeight="1">
      <c r="A818" s="1"/>
      <c r="C818" s="1"/>
      <c r="D818" s="1"/>
      <c r="E818" s="1"/>
      <c r="F818" s="1"/>
      <c r="G818" s="1"/>
      <c r="H818" s="1"/>
      <c r="J818" s="1"/>
      <c r="K818" s="1"/>
      <c r="L818" s="1"/>
      <c r="M818" s="1"/>
      <c r="N818" s="1"/>
      <c r="O818" s="1"/>
      <c r="P818" s="1"/>
    </row>
    <row r="819" spans="1:16" ht="15.75" customHeight="1">
      <c r="A819" s="1"/>
      <c r="C819" s="1"/>
      <c r="D819" s="1"/>
      <c r="E819" s="1"/>
      <c r="F819" s="1"/>
      <c r="G819" s="1"/>
      <c r="H819" s="1"/>
      <c r="J819" s="1"/>
      <c r="K819" s="1"/>
      <c r="L819" s="1"/>
      <c r="M819" s="1"/>
      <c r="N819" s="1"/>
      <c r="O819" s="1"/>
      <c r="P819" s="1"/>
    </row>
    <row r="820" spans="1:16" ht="15.75" customHeight="1">
      <c r="A820" s="1"/>
      <c r="C820" s="1"/>
      <c r="D820" s="1"/>
      <c r="E820" s="1"/>
      <c r="F820" s="1"/>
      <c r="G820" s="1"/>
      <c r="H820" s="1"/>
      <c r="J820" s="1"/>
      <c r="K820" s="1"/>
      <c r="L820" s="1"/>
      <c r="M820" s="1"/>
      <c r="N820" s="1"/>
      <c r="O820" s="1"/>
      <c r="P820" s="1"/>
    </row>
    <row r="821" spans="1:16" ht="15.75" customHeight="1">
      <c r="A821" s="1"/>
      <c r="C821" s="1"/>
      <c r="D821" s="1"/>
      <c r="E821" s="1"/>
      <c r="F821" s="1"/>
      <c r="G821" s="1"/>
      <c r="H821" s="1"/>
      <c r="J821" s="1"/>
      <c r="K821" s="1"/>
      <c r="L821" s="1"/>
      <c r="M821" s="1"/>
      <c r="N821" s="1"/>
      <c r="O821" s="1"/>
      <c r="P821" s="1"/>
    </row>
    <row r="822" spans="1:16" ht="15.75" customHeight="1">
      <c r="A822" s="1"/>
      <c r="C822" s="1"/>
      <c r="D822" s="1"/>
      <c r="E822" s="1"/>
      <c r="F822" s="1"/>
      <c r="G822" s="1"/>
      <c r="H822" s="1"/>
      <c r="J822" s="1"/>
      <c r="K822" s="1"/>
      <c r="L822" s="1"/>
      <c r="M822" s="1"/>
      <c r="N822" s="1"/>
      <c r="O822" s="1"/>
      <c r="P822" s="1"/>
    </row>
    <row r="823" spans="1:16" ht="15.75" customHeight="1">
      <c r="A823" s="1"/>
      <c r="C823" s="1"/>
      <c r="D823" s="1"/>
      <c r="E823" s="1"/>
      <c r="F823" s="1"/>
      <c r="G823" s="1"/>
      <c r="H823" s="1"/>
      <c r="J823" s="1"/>
      <c r="K823" s="1"/>
      <c r="L823" s="1"/>
      <c r="M823" s="1"/>
      <c r="N823" s="1"/>
      <c r="O823" s="1"/>
      <c r="P823" s="1"/>
    </row>
    <row r="824" spans="1:16" ht="15.75" customHeight="1">
      <c r="A824" s="1"/>
      <c r="C824" s="1"/>
      <c r="D824" s="1"/>
      <c r="E824" s="1"/>
      <c r="F824" s="1"/>
      <c r="G824" s="1"/>
      <c r="H824" s="1"/>
      <c r="J824" s="1"/>
      <c r="K824" s="1"/>
      <c r="L824" s="1"/>
      <c r="M824" s="1"/>
      <c r="N824" s="1"/>
      <c r="O824" s="1"/>
      <c r="P824" s="1"/>
    </row>
    <row r="825" spans="1:16" ht="15.75" customHeight="1">
      <c r="A825" s="1"/>
      <c r="C825" s="1"/>
      <c r="D825" s="1"/>
      <c r="E825" s="1"/>
      <c r="F825" s="1"/>
      <c r="G825" s="1"/>
      <c r="H825" s="1"/>
      <c r="J825" s="1"/>
      <c r="K825" s="1"/>
      <c r="L825" s="1"/>
      <c r="M825" s="1"/>
      <c r="N825" s="1"/>
      <c r="O825" s="1"/>
      <c r="P825" s="1"/>
    </row>
    <row r="826" spans="1:16" ht="15.75" customHeight="1">
      <c r="A826" s="1"/>
      <c r="C826" s="1"/>
      <c r="D826" s="1"/>
      <c r="E826" s="1"/>
      <c r="F826" s="1"/>
      <c r="G826" s="1"/>
      <c r="H826" s="1"/>
      <c r="J826" s="1"/>
      <c r="K826" s="1"/>
      <c r="L826" s="1"/>
      <c r="M826" s="1"/>
      <c r="N826" s="1"/>
      <c r="O826" s="1"/>
      <c r="P826" s="1"/>
    </row>
    <row r="827" spans="1:16" ht="15.75" customHeight="1">
      <c r="A827" s="1"/>
      <c r="C827" s="1"/>
      <c r="D827" s="1"/>
      <c r="E827" s="1"/>
      <c r="F827" s="1"/>
      <c r="G827" s="1"/>
      <c r="H827" s="1"/>
      <c r="J827" s="1"/>
      <c r="K827" s="1"/>
      <c r="L827" s="1"/>
      <c r="M827" s="1"/>
      <c r="N827" s="1"/>
      <c r="O827" s="1"/>
      <c r="P827" s="1"/>
    </row>
    <row r="828" spans="1:16" ht="15.75" customHeight="1">
      <c r="A828" s="1"/>
      <c r="C828" s="1"/>
      <c r="D828" s="1"/>
      <c r="E828" s="1"/>
      <c r="F828" s="1"/>
      <c r="G828" s="1"/>
      <c r="H828" s="1"/>
      <c r="J828" s="1"/>
      <c r="K828" s="1"/>
      <c r="L828" s="1"/>
      <c r="M828" s="1"/>
      <c r="N828" s="1"/>
      <c r="O828" s="1"/>
      <c r="P828" s="1"/>
    </row>
    <row r="829" spans="1:16" ht="15.75" customHeight="1">
      <c r="A829" s="1"/>
      <c r="C829" s="1"/>
      <c r="D829" s="1"/>
      <c r="E829" s="1"/>
      <c r="F829" s="1"/>
      <c r="G829" s="1"/>
      <c r="H829" s="1"/>
      <c r="J829" s="1"/>
      <c r="K829" s="1"/>
      <c r="L829" s="1"/>
      <c r="M829" s="1"/>
      <c r="N829" s="1"/>
      <c r="O829" s="1"/>
      <c r="P829" s="1"/>
    </row>
    <row r="830" spans="1:16" ht="15.75" customHeight="1">
      <c r="A830" s="1"/>
      <c r="C830" s="1"/>
      <c r="D830" s="1"/>
      <c r="E830" s="1"/>
      <c r="F830" s="1"/>
      <c r="G830" s="1"/>
      <c r="H830" s="1"/>
      <c r="J830" s="1"/>
      <c r="K830" s="1"/>
      <c r="L830" s="1"/>
      <c r="M830" s="1"/>
      <c r="N830" s="1"/>
      <c r="O830" s="1"/>
      <c r="P830" s="1"/>
    </row>
    <row r="831" spans="1:16" ht="15.75" customHeight="1">
      <c r="A831" s="1"/>
      <c r="C831" s="1"/>
      <c r="D831" s="1"/>
      <c r="E831" s="1"/>
      <c r="F831" s="1"/>
      <c r="G831" s="1"/>
      <c r="H831" s="1"/>
      <c r="J831" s="1"/>
      <c r="K831" s="1"/>
      <c r="L831" s="1"/>
      <c r="M831" s="1"/>
      <c r="N831" s="1"/>
      <c r="O831" s="1"/>
      <c r="P831" s="1"/>
    </row>
    <row r="832" spans="1:16" ht="15.75" customHeight="1">
      <c r="A832" s="1"/>
      <c r="C832" s="1"/>
      <c r="D832" s="1"/>
      <c r="E832" s="1"/>
      <c r="F832" s="1"/>
      <c r="G832" s="1"/>
      <c r="H832" s="1"/>
      <c r="J832" s="1"/>
      <c r="K832" s="1"/>
      <c r="L832" s="1"/>
      <c r="M832" s="1"/>
      <c r="N832" s="1"/>
      <c r="O832" s="1"/>
      <c r="P832" s="1"/>
    </row>
    <row r="833" spans="1:16" ht="15.75" customHeight="1">
      <c r="A833" s="1"/>
      <c r="C833" s="1"/>
      <c r="D833" s="1"/>
      <c r="E833" s="1"/>
      <c r="F833" s="1"/>
      <c r="G833" s="1"/>
      <c r="H833" s="1"/>
      <c r="J833" s="1"/>
      <c r="K833" s="1"/>
      <c r="L833" s="1"/>
      <c r="M833" s="1"/>
      <c r="N833" s="1"/>
      <c r="O833" s="1"/>
      <c r="P833" s="1"/>
    </row>
    <row r="834" spans="1:16" ht="15.75" customHeight="1">
      <c r="A834" s="1"/>
      <c r="C834" s="1"/>
      <c r="D834" s="1"/>
      <c r="E834" s="1"/>
      <c r="F834" s="1"/>
      <c r="G834" s="1"/>
      <c r="H834" s="1"/>
      <c r="J834" s="1"/>
      <c r="K834" s="1"/>
      <c r="L834" s="1"/>
      <c r="M834" s="1"/>
      <c r="N834" s="1"/>
      <c r="O834" s="1"/>
      <c r="P834" s="1"/>
    </row>
    <row r="835" spans="1:16" ht="15.75" customHeight="1">
      <c r="A835" s="1"/>
      <c r="C835" s="1"/>
      <c r="D835" s="1"/>
      <c r="E835" s="1"/>
      <c r="F835" s="1"/>
      <c r="G835" s="1"/>
      <c r="H835" s="1"/>
      <c r="J835" s="1"/>
      <c r="K835" s="1"/>
      <c r="L835" s="1"/>
      <c r="M835" s="1"/>
      <c r="N835" s="1"/>
      <c r="O835" s="1"/>
      <c r="P835" s="1"/>
    </row>
    <row r="836" spans="1:16" ht="15.75" customHeight="1">
      <c r="A836" s="1"/>
      <c r="C836" s="1"/>
      <c r="D836" s="1"/>
      <c r="E836" s="1"/>
      <c r="F836" s="1"/>
      <c r="G836" s="1"/>
      <c r="H836" s="1"/>
      <c r="J836" s="1"/>
      <c r="K836" s="1"/>
      <c r="L836" s="1"/>
      <c r="M836" s="1"/>
      <c r="N836" s="1"/>
      <c r="O836" s="1"/>
      <c r="P836" s="1"/>
    </row>
    <row r="837" spans="1:16" ht="15.75" customHeight="1">
      <c r="A837" s="1"/>
      <c r="C837" s="1"/>
      <c r="D837" s="1"/>
      <c r="E837" s="1"/>
      <c r="F837" s="1"/>
      <c r="G837" s="1"/>
      <c r="H837" s="1"/>
      <c r="J837" s="1"/>
      <c r="K837" s="1"/>
      <c r="L837" s="1"/>
      <c r="M837" s="1"/>
      <c r="N837" s="1"/>
      <c r="O837" s="1"/>
      <c r="P837" s="1"/>
    </row>
    <row r="838" spans="1:16" ht="15.75" customHeight="1">
      <c r="A838" s="1"/>
      <c r="C838" s="1"/>
      <c r="D838" s="1"/>
      <c r="E838" s="1"/>
      <c r="F838" s="1"/>
      <c r="G838" s="1"/>
      <c r="H838" s="1"/>
      <c r="J838" s="1"/>
      <c r="K838" s="1"/>
      <c r="L838" s="1"/>
      <c r="M838" s="1"/>
      <c r="N838" s="1"/>
      <c r="O838" s="1"/>
      <c r="P838" s="1"/>
    </row>
    <row r="839" spans="1:16" ht="15.75" customHeight="1">
      <c r="A839" s="1"/>
      <c r="C839" s="1"/>
      <c r="D839" s="1"/>
      <c r="E839" s="1"/>
      <c r="F839" s="1"/>
      <c r="G839" s="1"/>
      <c r="H839" s="1"/>
      <c r="J839" s="1"/>
      <c r="K839" s="1"/>
      <c r="L839" s="1"/>
      <c r="M839" s="1"/>
      <c r="N839" s="1"/>
      <c r="O839" s="1"/>
      <c r="P839" s="1"/>
    </row>
    <row r="840" spans="1:16" ht="15.75" customHeight="1">
      <c r="A840" s="1"/>
      <c r="C840" s="1"/>
      <c r="D840" s="1"/>
      <c r="E840" s="1"/>
      <c r="F840" s="1"/>
      <c r="G840" s="1"/>
      <c r="H840" s="1"/>
      <c r="J840" s="1"/>
      <c r="K840" s="1"/>
      <c r="L840" s="1"/>
      <c r="M840" s="1"/>
      <c r="N840" s="1"/>
      <c r="O840" s="1"/>
      <c r="P840" s="1"/>
    </row>
    <row r="841" spans="1:16" ht="15.75" customHeight="1">
      <c r="A841" s="1"/>
      <c r="C841" s="1"/>
      <c r="D841" s="1"/>
      <c r="E841" s="1"/>
      <c r="F841" s="1"/>
      <c r="G841" s="1"/>
      <c r="H841" s="1"/>
      <c r="J841" s="1"/>
      <c r="K841" s="1"/>
      <c r="L841" s="1"/>
      <c r="M841" s="1"/>
      <c r="N841" s="1"/>
      <c r="O841" s="1"/>
      <c r="P841" s="1"/>
    </row>
    <row r="842" spans="1:16" ht="15.75" customHeight="1">
      <c r="A842" s="1"/>
      <c r="C842" s="1"/>
      <c r="D842" s="1"/>
      <c r="E842" s="1"/>
      <c r="F842" s="1"/>
      <c r="G842" s="1"/>
      <c r="H842" s="1"/>
      <c r="J842" s="1"/>
      <c r="K842" s="1"/>
      <c r="L842" s="1"/>
      <c r="M842" s="1"/>
      <c r="N842" s="1"/>
      <c r="O842" s="1"/>
      <c r="P842" s="1"/>
    </row>
    <row r="843" spans="1:16" ht="15.75" customHeight="1">
      <c r="A843" s="1"/>
      <c r="C843" s="1"/>
      <c r="D843" s="1"/>
      <c r="E843" s="1"/>
      <c r="F843" s="1"/>
      <c r="G843" s="1"/>
      <c r="H843" s="1"/>
      <c r="J843" s="1"/>
      <c r="K843" s="1"/>
      <c r="L843" s="1"/>
      <c r="M843" s="1"/>
      <c r="N843" s="1"/>
      <c r="O843" s="1"/>
      <c r="P843" s="1"/>
    </row>
    <row r="844" spans="1:16" ht="15.75" customHeight="1">
      <c r="A844" s="1"/>
      <c r="C844" s="1"/>
      <c r="D844" s="1"/>
      <c r="E844" s="1"/>
      <c r="F844" s="1"/>
      <c r="G844" s="1"/>
      <c r="H844" s="1"/>
      <c r="J844" s="1"/>
      <c r="K844" s="1"/>
      <c r="L844" s="1"/>
      <c r="M844" s="1"/>
      <c r="N844" s="1"/>
      <c r="O844" s="1"/>
      <c r="P844" s="1"/>
    </row>
    <row r="845" spans="1:16" ht="15.75" customHeight="1">
      <c r="A845" s="1"/>
      <c r="C845" s="1"/>
      <c r="D845" s="1"/>
      <c r="E845" s="1"/>
      <c r="F845" s="1"/>
      <c r="G845" s="1"/>
      <c r="H845" s="1"/>
      <c r="J845" s="1"/>
      <c r="K845" s="1"/>
      <c r="L845" s="1"/>
      <c r="M845" s="1"/>
      <c r="N845" s="1"/>
      <c r="O845" s="1"/>
      <c r="P845" s="1"/>
    </row>
    <row r="846" spans="1:16" ht="15.75" customHeight="1">
      <c r="A846" s="1"/>
      <c r="C846" s="1"/>
      <c r="D846" s="1"/>
      <c r="E846" s="1"/>
      <c r="F846" s="1"/>
      <c r="G846" s="1"/>
      <c r="H846" s="1"/>
      <c r="J846" s="1"/>
      <c r="K846" s="1"/>
      <c r="L846" s="1"/>
      <c r="M846" s="1"/>
      <c r="N846" s="1"/>
      <c r="O846" s="1"/>
      <c r="P846" s="1"/>
    </row>
    <row r="847" spans="1:16" ht="15.75" customHeight="1">
      <c r="A847" s="1"/>
      <c r="C847" s="1"/>
      <c r="D847" s="1"/>
      <c r="E847" s="1"/>
      <c r="F847" s="1"/>
      <c r="G847" s="1"/>
      <c r="H847" s="1"/>
      <c r="J847" s="1"/>
      <c r="K847" s="1"/>
      <c r="L847" s="1"/>
      <c r="M847" s="1"/>
      <c r="N847" s="1"/>
      <c r="O847" s="1"/>
      <c r="P847" s="1"/>
    </row>
    <row r="848" spans="1:16" ht="15.75" customHeight="1">
      <c r="A848" s="1"/>
      <c r="C848" s="1"/>
      <c r="D848" s="1"/>
      <c r="E848" s="1"/>
      <c r="F848" s="1"/>
      <c r="G848" s="1"/>
      <c r="H848" s="1"/>
      <c r="J848" s="1"/>
      <c r="K848" s="1"/>
      <c r="L848" s="1"/>
      <c r="M848" s="1"/>
      <c r="N848" s="1"/>
      <c r="O848" s="1"/>
      <c r="P848" s="1"/>
    </row>
    <row r="849" spans="1:16" ht="15.75" customHeight="1">
      <c r="A849" s="1"/>
      <c r="C849" s="1"/>
      <c r="D849" s="1"/>
      <c r="E849" s="1"/>
      <c r="F849" s="1"/>
      <c r="G849" s="1"/>
      <c r="H849" s="1"/>
      <c r="J849" s="1"/>
      <c r="K849" s="1"/>
      <c r="L849" s="1"/>
      <c r="M849" s="1"/>
      <c r="N849" s="1"/>
      <c r="O849" s="1"/>
      <c r="P849" s="1"/>
    </row>
    <row r="850" spans="1:16" ht="15.75" customHeight="1">
      <c r="A850" s="1"/>
      <c r="C850" s="1"/>
      <c r="D850" s="1"/>
      <c r="E850" s="1"/>
      <c r="F850" s="1"/>
      <c r="G850" s="1"/>
      <c r="H850" s="1"/>
      <c r="J850" s="1"/>
      <c r="K850" s="1"/>
      <c r="L850" s="1"/>
      <c r="M850" s="1"/>
      <c r="N850" s="1"/>
      <c r="O850" s="1"/>
      <c r="P850" s="1"/>
    </row>
    <row r="851" spans="1:16" ht="15.75" customHeight="1">
      <c r="A851" s="1"/>
      <c r="C851" s="1"/>
      <c r="D851" s="1"/>
      <c r="E851" s="1"/>
      <c r="F851" s="1"/>
      <c r="G851" s="1"/>
      <c r="H851" s="1"/>
      <c r="J851" s="1"/>
      <c r="K851" s="1"/>
      <c r="L851" s="1"/>
      <c r="M851" s="1"/>
      <c r="N851" s="1"/>
      <c r="O851" s="1"/>
      <c r="P851" s="1"/>
    </row>
    <row r="852" spans="1:16" ht="15.75" customHeight="1">
      <c r="A852" s="1"/>
      <c r="C852" s="1"/>
      <c r="D852" s="1"/>
      <c r="E852" s="1"/>
      <c r="F852" s="1"/>
      <c r="G852" s="1"/>
      <c r="H852" s="1"/>
      <c r="J852" s="1"/>
      <c r="K852" s="1"/>
      <c r="L852" s="1"/>
      <c r="M852" s="1"/>
      <c r="N852" s="1"/>
      <c r="O852" s="1"/>
      <c r="P852" s="1"/>
    </row>
    <row r="853" spans="1:16" ht="15.75" customHeight="1">
      <c r="A853" s="1"/>
      <c r="C853" s="1"/>
      <c r="D853" s="1"/>
      <c r="E853" s="1"/>
      <c r="F853" s="1"/>
      <c r="G853" s="1"/>
      <c r="H853" s="1"/>
      <c r="J853" s="1"/>
      <c r="K853" s="1"/>
      <c r="L853" s="1"/>
      <c r="M853" s="1"/>
      <c r="N853" s="1"/>
      <c r="O853" s="1"/>
      <c r="P853" s="1"/>
    </row>
    <row r="854" spans="1:16" ht="15.75" customHeight="1">
      <c r="A854" s="1"/>
      <c r="C854" s="1"/>
      <c r="D854" s="1"/>
      <c r="E854" s="1"/>
      <c r="F854" s="1"/>
      <c r="G854" s="1"/>
      <c r="H854" s="1"/>
      <c r="J854" s="1"/>
      <c r="K854" s="1"/>
      <c r="L854" s="1"/>
      <c r="M854" s="1"/>
      <c r="N854" s="1"/>
      <c r="O854" s="1"/>
      <c r="P854" s="1"/>
    </row>
    <row r="855" spans="1:16" ht="15.75" customHeight="1">
      <c r="A855" s="1"/>
      <c r="C855" s="1"/>
      <c r="D855" s="1"/>
      <c r="E855" s="1"/>
      <c r="F855" s="1"/>
      <c r="G855" s="1"/>
      <c r="H855" s="1"/>
      <c r="J855" s="1"/>
      <c r="K855" s="1"/>
      <c r="L855" s="1"/>
      <c r="M855" s="1"/>
      <c r="N855" s="1"/>
      <c r="O855" s="1"/>
      <c r="P855" s="1"/>
    </row>
    <row r="856" spans="1:16" ht="15.75" customHeight="1">
      <c r="A856" s="1"/>
      <c r="C856" s="1"/>
      <c r="D856" s="1"/>
      <c r="E856" s="1"/>
      <c r="F856" s="1"/>
      <c r="G856" s="1"/>
      <c r="H856" s="1"/>
      <c r="J856" s="1"/>
      <c r="K856" s="1"/>
      <c r="L856" s="1"/>
      <c r="M856" s="1"/>
      <c r="N856" s="1"/>
      <c r="O856" s="1"/>
      <c r="P856" s="1"/>
    </row>
    <row r="857" spans="1:16" ht="15.75" customHeight="1">
      <c r="A857" s="1"/>
      <c r="C857" s="1"/>
      <c r="D857" s="1"/>
      <c r="E857" s="1"/>
      <c r="F857" s="1"/>
      <c r="G857" s="1"/>
      <c r="H857" s="1"/>
      <c r="J857" s="1"/>
      <c r="K857" s="1"/>
      <c r="L857" s="1"/>
      <c r="M857" s="1"/>
      <c r="N857" s="1"/>
      <c r="O857" s="1"/>
      <c r="P857" s="1"/>
    </row>
    <row r="858" spans="1:16" ht="15.75" customHeight="1">
      <c r="A858" s="1"/>
      <c r="C858" s="1"/>
      <c r="D858" s="1"/>
      <c r="E858" s="1"/>
      <c r="F858" s="1"/>
      <c r="G858" s="1"/>
      <c r="H858" s="1"/>
      <c r="J858" s="1"/>
      <c r="K858" s="1"/>
      <c r="L858" s="1"/>
      <c r="M858" s="1"/>
      <c r="N858" s="1"/>
      <c r="O858" s="1"/>
      <c r="P858" s="1"/>
    </row>
    <row r="859" spans="1:16" ht="15.75" customHeight="1">
      <c r="A859" s="1"/>
      <c r="C859" s="1"/>
      <c r="D859" s="1"/>
      <c r="E859" s="1"/>
      <c r="F859" s="1"/>
      <c r="G859" s="1"/>
      <c r="H859" s="1"/>
      <c r="J859" s="1"/>
      <c r="K859" s="1"/>
      <c r="L859" s="1"/>
      <c r="M859" s="1"/>
      <c r="N859" s="1"/>
      <c r="O859" s="1"/>
      <c r="P859" s="1"/>
    </row>
    <row r="860" spans="1:16" ht="15.75" customHeight="1">
      <c r="A860" s="1"/>
      <c r="C860" s="1"/>
      <c r="D860" s="1"/>
      <c r="E860" s="1"/>
      <c r="F860" s="1"/>
      <c r="G860" s="1"/>
      <c r="H860" s="1"/>
      <c r="J860" s="1"/>
      <c r="K860" s="1"/>
      <c r="L860" s="1"/>
      <c r="M860" s="1"/>
      <c r="N860" s="1"/>
      <c r="O860" s="1"/>
      <c r="P860" s="1"/>
    </row>
    <row r="861" spans="1:16" ht="15.75" customHeight="1">
      <c r="A861" s="1"/>
      <c r="C861" s="1"/>
      <c r="D861" s="1"/>
      <c r="E861" s="1"/>
      <c r="F861" s="1"/>
      <c r="G861" s="1"/>
      <c r="H861" s="1"/>
      <c r="J861" s="1"/>
      <c r="K861" s="1"/>
      <c r="L861" s="1"/>
      <c r="M861" s="1"/>
      <c r="N861" s="1"/>
      <c r="O861" s="1"/>
      <c r="P861" s="1"/>
    </row>
    <row r="862" spans="1:16" ht="15.75" customHeight="1">
      <c r="A862" s="1"/>
      <c r="C862" s="1"/>
      <c r="D862" s="1"/>
      <c r="E862" s="1"/>
      <c r="F862" s="1"/>
      <c r="G862" s="1"/>
      <c r="H862" s="1"/>
      <c r="J862" s="1"/>
      <c r="K862" s="1"/>
      <c r="L862" s="1"/>
      <c r="M862" s="1"/>
      <c r="N862" s="1"/>
      <c r="O862" s="1"/>
      <c r="P862" s="1"/>
    </row>
    <row r="863" spans="1:16" ht="15.75" customHeight="1">
      <c r="A863" s="1"/>
      <c r="C863" s="1"/>
      <c r="D863" s="1"/>
      <c r="E863" s="1"/>
      <c r="F863" s="1"/>
      <c r="G863" s="1"/>
      <c r="H863" s="1"/>
      <c r="J863" s="1"/>
      <c r="K863" s="1"/>
      <c r="L863" s="1"/>
      <c r="M863" s="1"/>
      <c r="N863" s="1"/>
      <c r="O863" s="1"/>
      <c r="P863" s="1"/>
    </row>
    <row r="864" spans="1:16" ht="15.75" customHeight="1">
      <c r="A864" s="1"/>
      <c r="C864" s="1"/>
      <c r="D864" s="1"/>
      <c r="E864" s="1"/>
      <c r="F864" s="1"/>
      <c r="G864" s="1"/>
      <c r="H864" s="1"/>
      <c r="J864" s="1"/>
      <c r="K864" s="1"/>
      <c r="L864" s="1"/>
      <c r="M864" s="1"/>
      <c r="N864" s="1"/>
      <c r="O864" s="1"/>
      <c r="P864" s="1"/>
    </row>
    <row r="865" spans="1:16" ht="15.75" customHeight="1">
      <c r="A865" s="1"/>
      <c r="C865" s="1"/>
      <c r="D865" s="1"/>
      <c r="E865" s="1"/>
      <c r="F865" s="1"/>
      <c r="G865" s="1"/>
      <c r="H865" s="1"/>
      <c r="J865" s="1"/>
      <c r="K865" s="1"/>
      <c r="L865" s="1"/>
      <c r="M865" s="1"/>
      <c r="N865" s="1"/>
      <c r="O865" s="1"/>
      <c r="P865" s="1"/>
    </row>
    <row r="866" spans="1:16" ht="15.75" customHeight="1">
      <c r="A866" s="1"/>
      <c r="C866" s="1"/>
      <c r="D866" s="1"/>
      <c r="E866" s="1"/>
      <c r="F866" s="1"/>
      <c r="G866" s="1"/>
      <c r="H866" s="1"/>
      <c r="J866" s="1"/>
      <c r="K866" s="1"/>
      <c r="L866" s="1"/>
      <c r="M866" s="1"/>
      <c r="N866" s="1"/>
      <c r="O866" s="1"/>
      <c r="P866" s="1"/>
    </row>
    <row r="867" spans="1:16" ht="15.75" customHeight="1">
      <c r="A867" s="1"/>
      <c r="C867" s="1"/>
      <c r="D867" s="1"/>
      <c r="E867" s="1"/>
      <c r="F867" s="1"/>
      <c r="G867" s="1"/>
      <c r="H867" s="1"/>
      <c r="J867" s="1"/>
      <c r="K867" s="1"/>
      <c r="L867" s="1"/>
      <c r="M867" s="1"/>
      <c r="N867" s="1"/>
      <c r="O867" s="1"/>
      <c r="P867" s="1"/>
    </row>
    <row r="868" spans="1:16" ht="15.75" customHeight="1">
      <c r="A868" s="1"/>
      <c r="C868" s="1"/>
      <c r="D868" s="1"/>
      <c r="E868" s="1"/>
      <c r="F868" s="1"/>
      <c r="G868" s="1"/>
      <c r="H868" s="1"/>
      <c r="J868" s="1"/>
      <c r="K868" s="1"/>
      <c r="L868" s="1"/>
      <c r="M868" s="1"/>
      <c r="N868" s="1"/>
      <c r="O868" s="1"/>
      <c r="P868" s="1"/>
    </row>
    <row r="869" spans="1:16" ht="15.75" customHeight="1">
      <c r="A869" s="1"/>
      <c r="C869" s="1"/>
      <c r="D869" s="1"/>
      <c r="E869" s="1"/>
      <c r="F869" s="1"/>
      <c r="G869" s="1"/>
      <c r="H869" s="1"/>
      <c r="J869" s="1"/>
      <c r="K869" s="1"/>
      <c r="L869" s="1"/>
      <c r="M869" s="1"/>
      <c r="N869" s="1"/>
      <c r="O869" s="1"/>
      <c r="P869" s="1"/>
    </row>
    <row r="870" spans="1:16" ht="15.75" customHeight="1">
      <c r="A870" s="1"/>
      <c r="C870" s="1"/>
      <c r="D870" s="1"/>
      <c r="E870" s="1"/>
      <c r="F870" s="1"/>
      <c r="G870" s="1"/>
      <c r="H870" s="1"/>
      <c r="J870" s="1"/>
      <c r="K870" s="1"/>
      <c r="L870" s="1"/>
      <c r="M870" s="1"/>
      <c r="N870" s="1"/>
      <c r="O870" s="1"/>
      <c r="P870" s="1"/>
    </row>
    <row r="871" spans="1:16" ht="15.75" customHeight="1">
      <c r="A871" s="1"/>
      <c r="C871" s="1"/>
      <c r="D871" s="1"/>
      <c r="E871" s="1"/>
      <c r="F871" s="1"/>
      <c r="G871" s="1"/>
      <c r="H871" s="1"/>
      <c r="J871" s="1"/>
      <c r="K871" s="1"/>
      <c r="L871" s="1"/>
      <c r="M871" s="1"/>
      <c r="N871" s="1"/>
      <c r="O871" s="1"/>
      <c r="P871" s="1"/>
    </row>
    <row r="872" spans="1:16" ht="15.75" customHeight="1">
      <c r="A872" s="1"/>
      <c r="C872" s="1"/>
      <c r="D872" s="1"/>
      <c r="E872" s="1"/>
      <c r="F872" s="1"/>
      <c r="G872" s="1"/>
      <c r="H872" s="1"/>
      <c r="J872" s="1"/>
      <c r="K872" s="1"/>
      <c r="L872" s="1"/>
      <c r="M872" s="1"/>
      <c r="N872" s="1"/>
      <c r="O872" s="1"/>
      <c r="P872" s="1"/>
    </row>
    <row r="873" spans="1:16" ht="15.75" customHeight="1">
      <c r="A873" s="1"/>
      <c r="C873" s="1"/>
      <c r="D873" s="1"/>
      <c r="E873" s="1"/>
      <c r="F873" s="1"/>
      <c r="G873" s="1"/>
      <c r="H873" s="1"/>
      <c r="J873" s="1"/>
      <c r="K873" s="1"/>
      <c r="L873" s="1"/>
      <c r="M873" s="1"/>
      <c r="N873" s="1"/>
      <c r="O873" s="1"/>
      <c r="P873" s="1"/>
    </row>
    <row r="874" spans="1:16" ht="15.75" customHeight="1">
      <c r="A874" s="1"/>
      <c r="C874" s="1"/>
      <c r="D874" s="1"/>
      <c r="E874" s="1"/>
      <c r="F874" s="1"/>
      <c r="G874" s="1"/>
      <c r="H874" s="1"/>
      <c r="J874" s="1"/>
      <c r="K874" s="1"/>
      <c r="L874" s="1"/>
      <c r="M874" s="1"/>
      <c r="N874" s="1"/>
      <c r="O874" s="1"/>
      <c r="P874" s="1"/>
    </row>
    <row r="875" spans="1:16" ht="15.75" customHeight="1">
      <c r="A875" s="1"/>
      <c r="C875" s="1"/>
      <c r="D875" s="1"/>
      <c r="E875" s="1"/>
      <c r="F875" s="1"/>
      <c r="G875" s="1"/>
      <c r="H875" s="1"/>
      <c r="J875" s="1"/>
      <c r="K875" s="1"/>
      <c r="L875" s="1"/>
      <c r="M875" s="1"/>
      <c r="N875" s="1"/>
      <c r="O875" s="1"/>
      <c r="P875" s="1"/>
    </row>
    <row r="876" spans="1:16" ht="15.75" customHeight="1">
      <c r="A876" s="1"/>
      <c r="C876" s="1"/>
      <c r="D876" s="1"/>
      <c r="E876" s="1"/>
      <c r="F876" s="1"/>
      <c r="G876" s="1"/>
      <c r="H876" s="1"/>
      <c r="J876" s="1"/>
      <c r="K876" s="1"/>
      <c r="L876" s="1"/>
      <c r="M876" s="1"/>
      <c r="N876" s="1"/>
      <c r="O876" s="1"/>
      <c r="P876" s="1"/>
    </row>
    <row r="877" spans="1:16" ht="15.75" customHeight="1">
      <c r="A877" s="1"/>
      <c r="C877" s="1"/>
      <c r="D877" s="1"/>
      <c r="E877" s="1"/>
      <c r="F877" s="1"/>
      <c r="G877" s="1"/>
      <c r="H877" s="1"/>
      <c r="J877" s="1"/>
      <c r="K877" s="1"/>
      <c r="L877" s="1"/>
      <c r="M877" s="1"/>
      <c r="N877" s="1"/>
      <c r="O877" s="1"/>
      <c r="P877" s="1"/>
    </row>
    <row r="878" spans="1:16" ht="15.75" customHeight="1">
      <c r="A878" s="1"/>
      <c r="C878" s="1"/>
      <c r="D878" s="1"/>
      <c r="E878" s="1"/>
      <c r="F878" s="1"/>
      <c r="G878" s="1"/>
      <c r="H878" s="1"/>
      <c r="J878" s="1"/>
      <c r="K878" s="1"/>
      <c r="L878" s="1"/>
      <c r="M878" s="1"/>
      <c r="N878" s="1"/>
      <c r="O878" s="1"/>
      <c r="P878" s="1"/>
    </row>
    <row r="879" spans="1:16" ht="15.75" customHeight="1">
      <c r="A879" s="1"/>
      <c r="C879" s="1"/>
      <c r="D879" s="1"/>
      <c r="E879" s="1"/>
      <c r="F879" s="1"/>
      <c r="G879" s="1"/>
      <c r="H879" s="1"/>
      <c r="J879" s="1"/>
      <c r="K879" s="1"/>
      <c r="L879" s="1"/>
      <c r="M879" s="1"/>
      <c r="N879" s="1"/>
      <c r="O879" s="1"/>
      <c r="P879" s="1"/>
    </row>
    <row r="880" spans="1:16" ht="15.75" customHeight="1">
      <c r="A880" s="1"/>
      <c r="C880" s="1"/>
      <c r="D880" s="1"/>
      <c r="E880" s="1"/>
      <c r="F880" s="1"/>
      <c r="G880" s="1"/>
      <c r="H880" s="1"/>
      <c r="J880" s="1"/>
      <c r="K880" s="1"/>
      <c r="L880" s="1"/>
      <c r="M880" s="1"/>
      <c r="N880" s="1"/>
      <c r="O880" s="1"/>
      <c r="P880" s="1"/>
    </row>
    <row r="881" spans="1:16" ht="15.75" customHeight="1">
      <c r="A881" s="1"/>
      <c r="C881" s="1"/>
      <c r="D881" s="1"/>
      <c r="E881" s="1"/>
      <c r="F881" s="1"/>
      <c r="G881" s="1"/>
      <c r="H881" s="1"/>
      <c r="J881" s="1"/>
      <c r="K881" s="1"/>
      <c r="L881" s="1"/>
      <c r="M881" s="1"/>
      <c r="N881" s="1"/>
      <c r="O881" s="1"/>
      <c r="P881" s="1"/>
    </row>
    <row r="882" spans="1:16" ht="15.75" customHeight="1">
      <c r="A882" s="1"/>
      <c r="C882" s="1"/>
      <c r="D882" s="1"/>
      <c r="E882" s="1"/>
      <c r="F882" s="1"/>
      <c r="G882" s="1"/>
      <c r="H882" s="1"/>
      <c r="J882" s="1"/>
      <c r="K882" s="1"/>
      <c r="L882" s="1"/>
      <c r="M882" s="1"/>
      <c r="N882" s="1"/>
      <c r="O882" s="1"/>
      <c r="P882" s="1"/>
    </row>
    <row r="883" spans="1:16" ht="15.75" customHeight="1">
      <c r="A883" s="1"/>
      <c r="C883" s="1"/>
      <c r="D883" s="1"/>
      <c r="E883" s="1"/>
      <c r="F883" s="1"/>
      <c r="G883" s="1"/>
      <c r="H883" s="1"/>
      <c r="J883" s="1"/>
      <c r="K883" s="1"/>
      <c r="L883" s="1"/>
      <c r="M883" s="1"/>
      <c r="N883" s="1"/>
      <c r="O883" s="1"/>
      <c r="P883" s="1"/>
    </row>
    <row r="884" spans="1:16" ht="15.75" customHeight="1">
      <c r="A884" s="1"/>
      <c r="C884" s="1"/>
      <c r="D884" s="1"/>
      <c r="E884" s="1"/>
      <c r="F884" s="1"/>
      <c r="G884" s="1"/>
      <c r="H884" s="1"/>
      <c r="J884" s="1"/>
      <c r="K884" s="1"/>
      <c r="L884" s="1"/>
      <c r="M884" s="1"/>
      <c r="N884" s="1"/>
      <c r="O884" s="1"/>
      <c r="P884" s="1"/>
    </row>
    <row r="885" spans="1:16" ht="15.75" customHeight="1">
      <c r="A885" s="1"/>
      <c r="C885" s="1"/>
      <c r="D885" s="1"/>
      <c r="E885" s="1"/>
      <c r="F885" s="1"/>
      <c r="G885" s="1"/>
      <c r="H885" s="1"/>
      <c r="J885" s="1"/>
      <c r="K885" s="1"/>
      <c r="L885" s="1"/>
      <c r="M885" s="1"/>
      <c r="N885" s="1"/>
      <c r="O885" s="1"/>
      <c r="P885" s="1"/>
    </row>
    <row r="886" spans="1:16" ht="15.75" customHeight="1">
      <c r="A886" s="1"/>
      <c r="C886" s="1"/>
      <c r="D886" s="1"/>
      <c r="E886" s="1"/>
      <c r="F886" s="1"/>
      <c r="G886" s="1"/>
      <c r="H886" s="1"/>
      <c r="J886" s="1"/>
      <c r="K886" s="1"/>
      <c r="L886" s="1"/>
      <c r="M886" s="1"/>
      <c r="N886" s="1"/>
      <c r="O886" s="1"/>
      <c r="P886" s="1"/>
    </row>
    <row r="887" spans="1:16" ht="15.75" customHeight="1">
      <c r="A887" s="1"/>
      <c r="C887" s="1"/>
      <c r="D887" s="1"/>
      <c r="E887" s="1"/>
      <c r="F887" s="1"/>
      <c r="G887" s="1"/>
      <c r="H887" s="1"/>
      <c r="J887" s="1"/>
      <c r="K887" s="1"/>
      <c r="L887" s="1"/>
      <c r="M887" s="1"/>
      <c r="N887" s="1"/>
      <c r="O887" s="1"/>
      <c r="P887" s="1"/>
    </row>
    <row r="888" spans="1:16" ht="15.75" customHeight="1">
      <c r="A888" s="1"/>
      <c r="C888" s="1"/>
      <c r="D888" s="1"/>
      <c r="E888" s="1"/>
      <c r="F888" s="1"/>
      <c r="G888" s="1"/>
      <c r="H888" s="1"/>
      <c r="J888" s="1"/>
      <c r="K888" s="1"/>
      <c r="L888" s="1"/>
      <c r="M888" s="1"/>
      <c r="N888" s="1"/>
      <c r="O888" s="1"/>
      <c r="P888" s="1"/>
    </row>
    <row r="889" spans="1:16" ht="15.75" customHeight="1">
      <c r="A889" s="1"/>
      <c r="C889" s="1"/>
      <c r="D889" s="1"/>
      <c r="E889" s="1"/>
      <c r="F889" s="1"/>
      <c r="G889" s="1"/>
      <c r="H889" s="1"/>
      <c r="J889" s="1"/>
      <c r="K889" s="1"/>
      <c r="L889" s="1"/>
      <c r="M889" s="1"/>
      <c r="N889" s="1"/>
      <c r="O889" s="1"/>
      <c r="P889" s="1"/>
    </row>
    <row r="890" spans="1:16" ht="15.75" customHeight="1">
      <c r="A890" s="1"/>
      <c r="C890" s="1"/>
      <c r="D890" s="1"/>
      <c r="E890" s="1"/>
      <c r="F890" s="1"/>
      <c r="G890" s="1"/>
      <c r="H890" s="1"/>
      <c r="J890" s="1"/>
      <c r="K890" s="1"/>
      <c r="L890" s="1"/>
      <c r="M890" s="1"/>
      <c r="N890" s="1"/>
      <c r="O890" s="1"/>
      <c r="P890" s="1"/>
    </row>
    <row r="891" spans="1:16" ht="15.75" customHeight="1">
      <c r="A891" s="1"/>
      <c r="C891" s="1"/>
      <c r="D891" s="1"/>
      <c r="E891" s="1"/>
      <c r="F891" s="1"/>
      <c r="G891" s="1"/>
      <c r="H891" s="1"/>
      <c r="J891" s="1"/>
      <c r="K891" s="1"/>
      <c r="L891" s="1"/>
      <c r="M891" s="1"/>
      <c r="N891" s="1"/>
      <c r="O891" s="1"/>
      <c r="P891" s="1"/>
    </row>
    <row r="892" spans="1:16" ht="15.75" customHeight="1">
      <c r="A892" s="1"/>
      <c r="C892" s="1"/>
      <c r="D892" s="1"/>
      <c r="E892" s="1"/>
      <c r="F892" s="1"/>
      <c r="G892" s="1"/>
      <c r="H892" s="1"/>
      <c r="J892" s="1"/>
      <c r="K892" s="1"/>
      <c r="L892" s="1"/>
      <c r="M892" s="1"/>
      <c r="N892" s="1"/>
      <c r="O892" s="1"/>
      <c r="P892" s="1"/>
    </row>
    <row r="893" spans="1:16" ht="15.75" customHeight="1">
      <c r="A893" s="1"/>
      <c r="C893" s="1"/>
      <c r="D893" s="1"/>
      <c r="E893" s="1"/>
      <c r="F893" s="1"/>
      <c r="G893" s="1"/>
      <c r="H893" s="1"/>
      <c r="J893" s="1"/>
      <c r="K893" s="1"/>
      <c r="L893" s="1"/>
      <c r="M893" s="1"/>
      <c r="N893" s="1"/>
      <c r="O893" s="1"/>
      <c r="P893" s="1"/>
    </row>
    <row r="894" spans="1:16" ht="15.75" customHeight="1">
      <c r="A894" s="1"/>
      <c r="C894" s="1"/>
      <c r="D894" s="1"/>
      <c r="E894" s="1"/>
      <c r="F894" s="1"/>
      <c r="G894" s="1"/>
      <c r="H894" s="1"/>
      <c r="J894" s="1"/>
      <c r="K894" s="1"/>
      <c r="L894" s="1"/>
      <c r="M894" s="1"/>
      <c r="N894" s="1"/>
      <c r="O894" s="1"/>
      <c r="P894" s="1"/>
    </row>
    <row r="895" spans="1:16" ht="15.75" customHeight="1">
      <c r="A895" s="1"/>
      <c r="C895" s="1"/>
      <c r="D895" s="1"/>
      <c r="E895" s="1"/>
      <c r="F895" s="1"/>
      <c r="G895" s="1"/>
      <c r="H895" s="1"/>
      <c r="J895" s="1"/>
      <c r="K895" s="1"/>
      <c r="L895" s="1"/>
      <c r="M895" s="1"/>
      <c r="N895" s="1"/>
      <c r="O895" s="1"/>
      <c r="P895" s="1"/>
    </row>
    <row r="896" spans="1:16" ht="15.75" customHeight="1">
      <c r="A896" s="1"/>
      <c r="C896" s="1"/>
      <c r="D896" s="1"/>
      <c r="E896" s="1"/>
      <c r="F896" s="1"/>
      <c r="G896" s="1"/>
      <c r="H896" s="1"/>
      <c r="J896" s="1"/>
      <c r="K896" s="1"/>
      <c r="L896" s="1"/>
      <c r="M896" s="1"/>
      <c r="N896" s="1"/>
      <c r="O896" s="1"/>
      <c r="P896" s="1"/>
    </row>
    <row r="897" spans="1:16" ht="15.75" customHeight="1">
      <c r="A897" s="1"/>
      <c r="C897" s="1"/>
      <c r="D897" s="1"/>
      <c r="E897" s="1"/>
      <c r="F897" s="1"/>
      <c r="G897" s="1"/>
      <c r="H897" s="1"/>
      <c r="J897" s="1"/>
      <c r="K897" s="1"/>
      <c r="L897" s="1"/>
      <c r="M897" s="1"/>
      <c r="N897" s="1"/>
      <c r="O897" s="1"/>
      <c r="P897" s="1"/>
    </row>
    <row r="898" spans="1:16" ht="15.75" customHeight="1">
      <c r="A898" s="1"/>
      <c r="C898" s="1"/>
      <c r="D898" s="1"/>
      <c r="E898" s="1"/>
      <c r="F898" s="1"/>
      <c r="G898" s="1"/>
      <c r="H898" s="1"/>
      <c r="J898" s="1"/>
      <c r="K898" s="1"/>
      <c r="L898" s="1"/>
      <c r="M898" s="1"/>
      <c r="N898" s="1"/>
      <c r="O898" s="1"/>
      <c r="P898" s="1"/>
    </row>
    <row r="899" spans="1:16" ht="15.75" customHeight="1">
      <c r="A899" s="1"/>
      <c r="C899" s="1"/>
      <c r="D899" s="1"/>
      <c r="E899" s="1"/>
      <c r="F899" s="1"/>
      <c r="G899" s="1"/>
      <c r="H899" s="1"/>
      <c r="J899" s="1"/>
      <c r="K899" s="1"/>
      <c r="L899" s="1"/>
      <c r="M899" s="1"/>
      <c r="N899" s="1"/>
      <c r="O899" s="1"/>
      <c r="P899" s="1"/>
    </row>
    <row r="900" spans="1:16" ht="15.75" customHeight="1">
      <c r="A900" s="1"/>
      <c r="C900" s="1"/>
      <c r="D900" s="1"/>
      <c r="E900" s="1"/>
      <c r="F900" s="1"/>
      <c r="G900" s="1"/>
      <c r="H900" s="1"/>
      <c r="J900" s="1"/>
      <c r="K900" s="1"/>
      <c r="L900" s="1"/>
      <c r="M900" s="1"/>
      <c r="N900" s="1"/>
      <c r="O900" s="1"/>
      <c r="P900" s="1"/>
    </row>
    <row r="901" spans="1:16" ht="15.75" customHeight="1">
      <c r="A901" s="1"/>
      <c r="C901" s="1"/>
      <c r="D901" s="1"/>
      <c r="E901" s="1"/>
      <c r="F901" s="1"/>
      <c r="G901" s="1"/>
      <c r="H901" s="1"/>
      <c r="J901" s="1"/>
      <c r="K901" s="1"/>
      <c r="L901" s="1"/>
      <c r="M901" s="1"/>
      <c r="N901" s="1"/>
      <c r="O901" s="1"/>
      <c r="P901" s="1"/>
    </row>
    <row r="902" spans="1:16" ht="15.75" customHeight="1">
      <c r="A902" s="1"/>
      <c r="C902" s="1"/>
      <c r="D902" s="1"/>
      <c r="E902" s="1"/>
      <c r="F902" s="1"/>
      <c r="G902" s="1"/>
      <c r="H902" s="1"/>
      <c r="J902" s="1"/>
      <c r="K902" s="1"/>
      <c r="L902" s="1"/>
      <c r="M902" s="1"/>
      <c r="N902" s="1"/>
      <c r="O902" s="1"/>
      <c r="P902" s="1"/>
    </row>
    <row r="903" spans="1:16" ht="15.75" customHeight="1">
      <c r="A903" s="1"/>
      <c r="C903" s="1"/>
      <c r="D903" s="1"/>
      <c r="E903" s="1"/>
      <c r="F903" s="1"/>
      <c r="G903" s="1"/>
      <c r="H903" s="1"/>
      <c r="J903" s="1"/>
      <c r="K903" s="1"/>
      <c r="L903" s="1"/>
      <c r="M903" s="1"/>
      <c r="N903" s="1"/>
      <c r="O903" s="1"/>
      <c r="P903" s="1"/>
    </row>
    <row r="904" spans="1:16" ht="15.75" customHeight="1">
      <c r="A904" s="1"/>
      <c r="C904" s="1"/>
      <c r="D904" s="1"/>
      <c r="E904" s="1"/>
      <c r="F904" s="1"/>
      <c r="G904" s="1"/>
      <c r="H904" s="1"/>
      <c r="J904" s="1"/>
      <c r="K904" s="1"/>
      <c r="L904" s="1"/>
      <c r="M904" s="1"/>
      <c r="N904" s="1"/>
      <c r="O904" s="1"/>
      <c r="P904" s="1"/>
    </row>
    <row r="905" spans="1:16" ht="15.75" customHeight="1">
      <c r="A905" s="1"/>
      <c r="C905" s="1"/>
      <c r="D905" s="1"/>
      <c r="E905" s="1"/>
      <c r="F905" s="1"/>
      <c r="G905" s="1"/>
      <c r="H905" s="1"/>
      <c r="J905" s="1"/>
      <c r="K905" s="1"/>
      <c r="L905" s="1"/>
      <c r="M905" s="1"/>
      <c r="N905" s="1"/>
      <c r="O905" s="1"/>
      <c r="P905" s="1"/>
    </row>
    <row r="906" spans="1:16" ht="15.75" customHeight="1">
      <c r="A906" s="1"/>
      <c r="C906" s="1"/>
      <c r="D906" s="1"/>
      <c r="E906" s="1"/>
      <c r="F906" s="1"/>
      <c r="G906" s="1"/>
      <c r="H906" s="1"/>
      <c r="J906" s="1"/>
      <c r="K906" s="1"/>
      <c r="L906" s="1"/>
      <c r="M906" s="1"/>
      <c r="N906" s="1"/>
      <c r="O906" s="1"/>
      <c r="P906" s="1"/>
    </row>
    <row r="907" spans="1:16" ht="15.75" customHeight="1">
      <c r="A907" s="1"/>
      <c r="C907" s="1"/>
      <c r="D907" s="1"/>
      <c r="E907" s="1"/>
      <c r="F907" s="1"/>
      <c r="G907" s="1"/>
      <c r="H907" s="1"/>
      <c r="J907" s="1"/>
      <c r="K907" s="1"/>
      <c r="L907" s="1"/>
      <c r="M907" s="1"/>
      <c r="N907" s="1"/>
      <c r="O907" s="1"/>
      <c r="P907" s="1"/>
    </row>
    <row r="908" spans="1:16" ht="15.75" customHeight="1">
      <c r="A908" s="1"/>
      <c r="C908" s="1"/>
      <c r="D908" s="1"/>
      <c r="E908" s="1"/>
      <c r="F908" s="1"/>
      <c r="G908" s="1"/>
      <c r="H908" s="1"/>
      <c r="J908" s="1"/>
      <c r="K908" s="1"/>
      <c r="L908" s="1"/>
      <c r="M908" s="1"/>
      <c r="N908" s="1"/>
      <c r="O908" s="1"/>
      <c r="P908" s="1"/>
    </row>
    <row r="909" spans="1:16" ht="15.75" customHeight="1">
      <c r="A909" s="1"/>
      <c r="C909" s="1"/>
      <c r="D909" s="1"/>
      <c r="E909" s="1"/>
      <c r="F909" s="1"/>
      <c r="G909" s="1"/>
      <c r="H909" s="1"/>
      <c r="J909" s="1"/>
      <c r="K909" s="1"/>
      <c r="L909" s="1"/>
      <c r="M909" s="1"/>
      <c r="N909" s="1"/>
      <c r="O909" s="1"/>
      <c r="P909" s="1"/>
    </row>
    <row r="910" spans="1:16" ht="15.75" customHeight="1">
      <c r="A910" s="1"/>
      <c r="C910" s="1"/>
      <c r="D910" s="1"/>
      <c r="E910" s="1"/>
      <c r="F910" s="1"/>
      <c r="G910" s="1"/>
      <c r="H910" s="1"/>
      <c r="J910" s="1"/>
      <c r="K910" s="1"/>
      <c r="L910" s="1"/>
      <c r="M910" s="1"/>
      <c r="N910" s="1"/>
      <c r="O910" s="1"/>
      <c r="P910" s="1"/>
    </row>
    <row r="911" spans="1:16" ht="15.75" customHeight="1">
      <c r="A911" s="1"/>
      <c r="C911" s="1"/>
      <c r="D911" s="1"/>
      <c r="E911" s="1"/>
      <c r="F911" s="1"/>
      <c r="G911" s="1"/>
      <c r="H911" s="1"/>
      <c r="J911" s="1"/>
      <c r="K911" s="1"/>
      <c r="L911" s="1"/>
      <c r="M911" s="1"/>
      <c r="N911" s="1"/>
      <c r="O911" s="1"/>
      <c r="P911" s="1"/>
    </row>
    <row r="912" spans="1:16" ht="15.75" customHeight="1">
      <c r="A912" s="1"/>
      <c r="C912" s="1"/>
      <c r="D912" s="1"/>
      <c r="E912" s="1"/>
      <c r="F912" s="1"/>
      <c r="G912" s="1"/>
      <c r="H912" s="1"/>
      <c r="J912" s="1"/>
      <c r="K912" s="1"/>
      <c r="L912" s="1"/>
      <c r="M912" s="1"/>
      <c r="N912" s="1"/>
      <c r="O912" s="1"/>
      <c r="P912" s="1"/>
    </row>
    <row r="913" spans="1:16" ht="15.75" customHeight="1">
      <c r="A913" s="1"/>
      <c r="C913" s="1"/>
      <c r="D913" s="1"/>
      <c r="E913" s="1"/>
      <c r="F913" s="1"/>
      <c r="G913" s="1"/>
      <c r="H913" s="1"/>
      <c r="J913" s="1"/>
      <c r="K913" s="1"/>
      <c r="L913" s="1"/>
      <c r="M913" s="1"/>
      <c r="N913" s="1"/>
      <c r="O913" s="1"/>
      <c r="P913" s="1"/>
    </row>
    <row r="914" spans="1:16" ht="15.75" customHeight="1">
      <c r="A914" s="1"/>
      <c r="C914" s="1"/>
      <c r="D914" s="1"/>
      <c r="E914" s="1"/>
      <c r="F914" s="1"/>
      <c r="G914" s="1"/>
      <c r="H914" s="1"/>
      <c r="J914" s="1"/>
      <c r="K914" s="1"/>
      <c r="L914" s="1"/>
      <c r="M914" s="1"/>
      <c r="N914" s="1"/>
      <c r="O914" s="1"/>
      <c r="P914" s="1"/>
    </row>
    <row r="915" spans="1:16" ht="15.75" customHeight="1">
      <c r="A915" s="1"/>
      <c r="C915" s="1"/>
      <c r="D915" s="1"/>
      <c r="E915" s="1"/>
      <c r="F915" s="1"/>
      <c r="G915" s="1"/>
      <c r="H915" s="1"/>
      <c r="J915" s="1"/>
      <c r="K915" s="1"/>
      <c r="L915" s="1"/>
      <c r="M915" s="1"/>
      <c r="N915" s="1"/>
      <c r="O915" s="1"/>
      <c r="P915" s="1"/>
    </row>
    <row r="916" spans="1:16" ht="15.75" customHeight="1">
      <c r="A916" s="1"/>
      <c r="C916" s="1"/>
      <c r="D916" s="1"/>
      <c r="E916" s="1"/>
      <c r="F916" s="1"/>
      <c r="G916" s="1"/>
      <c r="H916" s="1"/>
      <c r="J916" s="1"/>
      <c r="K916" s="1"/>
      <c r="L916" s="1"/>
      <c r="M916" s="1"/>
      <c r="N916" s="1"/>
      <c r="O916" s="1"/>
      <c r="P916" s="1"/>
    </row>
    <row r="917" spans="1:16" ht="15.75" customHeight="1">
      <c r="A917" s="1"/>
      <c r="C917" s="1"/>
      <c r="D917" s="1"/>
      <c r="E917" s="1"/>
      <c r="F917" s="1"/>
      <c r="G917" s="1"/>
      <c r="H917" s="1"/>
      <c r="J917" s="1"/>
      <c r="K917" s="1"/>
      <c r="L917" s="1"/>
      <c r="M917" s="1"/>
      <c r="N917" s="1"/>
      <c r="O917" s="1"/>
      <c r="P917" s="1"/>
    </row>
    <row r="918" spans="1:16" ht="15.75" customHeight="1">
      <c r="A918" s="1"/>
      <c r="C918" s="1"/>
      <c r="D918" s="1"/>
      <c r="E918" s="1"/>
      <c r="F918" s="1"/>
      <c r="G918" s="1"/>
      <c r="H918" s="1"/>
      <c r="J918" s="1"/>
      <c r="K918" s="1"/>
      <c r="L918" s="1"/>
      <c r="M918" s="1"/>
      <c r="N918" s="1"/>
      <c r="O918" s="1"/>
      <c r="P918" s="1"/>
    </row>
    <row r="919" spans="1:16" ht="15.75" customHeight="1">
      <c r="A919" s="1"/>
      <c r="C919" s="1"/>
      <c r="D919" s="1"/>
      <c r="E919" s="1"/>
      <c r="F919" s="1"/>
      <c r="G919" s="1"/>
      <c r="H919" s="1"/>
      <c r="J919" s="1"/>
      <c r="K919" s="1"/>
      <c r="L919" s="1"/>
      <c r="M919" s="1"/>
      <c r="N919" s="1"/>
      <c r="O919" s="1"/>
      <c r="P919" s="1"/>
    </row>
    <row r="920" spans="1:16" ht="15.75" customHeight="1">
      <c r="A920" s="1"/>
      <c r="C920" s="1"/>
      <c r="D920" s="1"/>
      <c r="E920" s="1"/>
      <c r="F920" s="1"/>
      <c r="G920" s="1"/>
      <c r="H920" s="1"/>
      <c r="J920" s="1"/>
      <c r="K920" s="1"/>
      <c r="L920" s="1"/>
      <c r="M920" s="1"/>
      <c r="N920" s="1"/>
      <c r="O920" s="1"/>
      <c r="P920" s="1"/>
    </row>
    <row r="921" spans="1:16" ht="15.75" customHeight="1">
      <c r="A921" s="1"/>
      <c r="C921" s="1"/>
      <c r="D921" s="1"/>
      <c r="E921" s="1"/>
      <c r="F921" s="1"/>
      <c r="G921" s="1"/>
      <c r="H921" s="1"/>
      <c r="J921" s="1"/>
      <c r="K921" s="1"/>
      <c r="L921" s="1"/>
      <c r="M921" s="1"/>
      <c r="N921" s="1"/>
      <c r="O921" s="1"/>
      <c r="P921" s="1"/>
    </row>
    <row r="922" spans="1:16" ht="15.75" customHeight="1">
      <c r="A922" s="1"/>
      <c r="C922" s="1"/>
      <c r="D922" s="1"/>
      <c r="E922" s="1"/>
      <c r="F922" s="1"/>
      <c r="G922" s="1"/>
      <c r="H922" s="1"/>
      <c r="J922" s="1"/>
      <c r="K922" s="1"/>
      <c r="L922" s="1"/>
      <c r="M922" s="1"/>
      <c r="N922" s="1"/>
      <c r="O922" s="1"/>
      <c r="P922" s="1"/>
    </row>
    <row r="923" spans="1:16" ht="15.75" customHeight="1">
      <c r="A923" s="1"/>
      <c r="C923" s="1"/>
      <c r="D923" s="1"/>
      <c r="E923" s="1"/>
      <c r="F923" s="1"/>
      <c r="G923" s="1"/>
      <c r="H923" s="1"/>
      <c r="J923" s="1"/>
      <c r="K923" s="1"/>
      <c r="L923" s="1"/>
      <c r="M923" s="1"/>
      <c r="N923" s="1"/>
      <c r="O923" s="1"/>
      <c r="P923" s="1"/>
    </row>
    <row r="924" spans="1:16" ht="15.75" customHeight="1">
      <c r="A924" s="1"/>
      <c r="C924" s="1"/>
      <c r="D924" s="1"/>
      <c r="E924" s="1"/>
      <c r="F924" s="1"/>
      <c r="G924" s="1"/>
      <c r="H924" s="1"/>
      <c r="J924" s="1"/>
      <c r="K924" s="1"/>
      <c r="L924" s="1"/>
      <c r="M924" s="1"/>
      <c r="N924" s="1"/>
      <c r="O924" s="1"/>
      <c r="P924" s="1"/>
    </row>
    <row r="925" spans="1:16" ht="15.75" customHeight="1">
      <c r="A925" s="1"/>
      <c r="C925" s="1"/>
      <c r="D925" s="1"/>
      <c r="E925" s="1"/>
      <c r="F925" s="1"/>
      <c r="G925" s="1"/>
      <c r="H925" s="1"/>
      <c r="J925" s="1"/>
      <c r="K925" s="1"/>
      <c r="L925" s="1"/>
      <c r="M925" s="1"/>
      <c r="N925" s="1"/>
      <c r="O925" s="1"/>
      <c r="P925" s="1"/>
    </row>
    <row r="926" spans="1:16" ht="15.75" customHeight="1">
      <c r="A926" s="1"/>
      <c r="C926" s="1"/>
      <c r="D926" s="1"/>
      <c r="E926" s="1"/>
      <c r="F926" s="1"/>
      <c r="G926" s="1"/>
      <c r="H926" s="1"/>
      <c r="J926" s="1"/>
      <c r="K926" s="1"/>
      <c r="L926" s="1"/>
      <c r="M926" s="1"/>
      <c r="N926" s="1"/>
      <c r="O926" s="1"/>
      <c r="P926" s="1"/>
    </row>
    <row r="927" spans="1:16" ht="15.75" customHeight="1">
      <c r="A927" s="1"/>
      <c r="C927" s="1"/>
      <c r="D927" s="1"/>
      <c r="E927" s="1"/>
      <c r="F927" s="1"/>
      <c r="G927" s="1"/>
      <c r="H927" s="1"/>
      <c r="J927" s="1"/>
      <c r="K927" s="1"/>
      <c r="L927" s="1"/>
      <c r="M927" s="1"/>
      <c r="N927" s="1"/>
      <c r="O927" s="1"/>
      <c r="P927" s="1"/>
    </row>
    <row r="928" spans="1:16" ht="15.75" customHeight="1">
      <c r="A928" s="1"/>
      <c r="C928" s="1"/>
      <c r="D928" s="1"/>
      <c r="E928" s="1"/>
      <c r="F928" s="1"/>
      <c r="G928" s="1"/>
      <c r="H928" s="1"/>
      <c r="J928" s="1"/>
      <c r="K928" s="1"/>
      <c r="L928" s="1"/>
      <c r="M928" s="1"/>
      <c r="N928" s="1"/>
      <c r="O928" s="1"/>
      <c r="P928" s="1"/>
    </row>
    <row r="929" spans="1:16" ht="15.75" customHeight="1">
      <c r="A929" s="1"/>
      <c r="C929" s="1"/>
      <c r="D929" s="1"/>
      <c r="E929" s="1"/>
      <c r="F929" s="1"/>
      <c r="G929" s="1"/>
      <c r="H929" s="1"/>
      <c r="J929" s="1"/>
      <c r="K929" s="1"/>
      <c r="L929" s="1"/>
      <c r="M929" s="1"/>
      <c r="N929" s="1"/>
      <c r="O929" s="1"/>
      <c r="P929" s="1"/>
    </row>
    <row r="930" spans="1:16" ht="15.75" customHeight="1">
      <c r="A930" s="1"/>
      <c r="C930" s="1"/>
      <c r="D930" s="1"/>
      <c r="E930" s="1"/>
      <c r="F930" s="1"/>
      <c r="G930" s="1"/>
      <c r="H930" s="1"/>
      <c r="J930" s="1"/>
      <c r="K930" s="1"/>
      <c r="L930" s="1"/>
      <c r="M930" s="1"/>
      <c r="N930" s="1"/>
      <c r="O930" s="1"/>
      <c r="P930" s="1"/>
    </row>
    <row r="931" spans="1:16" ht="15.75" customHeight="1">
      <c r="A931" s="1"/>
      <c r="C931" s="1"/>
      <c r="D931" s="1"/>
      <c r="E931" s="1"/>
      <c r="F931" s="1"/>
      <c r="G931" s="1"/>
      <c r="H931" s="1"/>
      <c r="J931" s="1"/>
      <c r="K931" s="1"/>
      <c r="L931" s="1"/>
      <c r="M931" s="1"/>
      <c r="N931" s="1"/>
      <c r="O931" s="1"/>
      <c r="P931" s="1"/>
    </row>
    <row r="932" spans="1:16" ht="15.75" customHeight="1">
      <c r="A932" s="1"/>
      <c r="C932" s="1"/>
      <c r="D932" s="1"/>
      <c r="E932" s="1"/>
      <c r="F932" s="1"/>
      <c r="G932" s="1"/>
      <c r="H932" s="1"/>
      <c r="J932" s="1"/>
      <c r="K932" s="1"/>
      <c r="L932" s="1"/>
      <c r="M932" s="1"/>
      <c r="N932" s="1"/>
      <c r="O932" s="1"/>
      <c r="P932" s="1"/>
    </row>
    <row r="933" spans="1:16" ht="15.75" customHeight="1">
      <c r="A933" s="1"/>
      <c r="C933" s="1"/>
      <c r="D933" s="1"/>
      <c r="E933" s="1"/>
      <c r="F933" s="1"/>
      <c r="G933" s="1"/>
      <c r="H933" s="1"/>
      <c r="J933" s="1"/>
      <c r="K933" s="1"/>
      <c r="L933" s="1"/>
      <c r="M933" s="1"/>
      <c r="N933" s="1"/>
      <c r="O933" s="1"/>
      <c r="P933" s="1"/>
    </row>
    <row r="934" spans="1:16" ht="15.75" customHeight="1">
      <c r="A934" s="1"/>
      <c r="C934" s="1"/>
      <c r="D934" s="1"/>
      <c r="E934" s="1"/>
      <c r="F934" s="1"/>
      <c r="G934" s="1"/>
      <c r="H934" s="1"/>
      <c r="J934" s="1"/>
      <c r="K934" s="1"/>
      <c r="L934" s="1"/>
      <c r="M934" s="1"/>
      <c r="N934" s="1"/>
      <c r="O934" s="1"/>
      <c r="P934" s="1"/>
    </row>
    <row r="935" spans="1:16" ht="15.75" customHeight="1">
      <c r="A935" s="1"/>
      <c r="C935" s="1"/>
      <c r="D935" s="1"/>
      <c r="E935" s="1"/>
      <c r="F935" s="1"/>
      <c r="G935" s="1"/>
      <c r="H935" s="1"/>
      <c r="J935" s="1"/>
      <c r="K935" s="1"/>
      <c r="L935" s="1"/>
      <c r="M935" s="1"/>
      <c r="N935" s="1"/>
      <c r="O935" s="1"/>
      <c r="P935" s="1"/>
    </row>
    <row r="936" spans="1:16" ht="15.75" customHeight="1">
      <c r="A936" s="1"/>
      <c r="C936" s="1"/>
      <c r="D936" s="1"/>
      <c r="E936" s="1"/>
      <c r="F936" s="1"/>
      <c r="G936" s="1"/>
      <c r="H936" s="1"/>
      <c r="J936" s="1"/>
      <c r="K936" s="1"/>
      <c r="L936" s="1"/>
      <c r="M936" s="1"/>
      <c r="N936" s="1"/>
      <c r="O936" s="1"/>
      <c r="P936" s="1"/>
    </row>
    <row r="937" spans="1:16" ht="15.75" customHeight="1">
      <c r="A937" s="1"/>
      <c r="C937" s="1"/>
      <c r="D937" s="1"/>
      <c r="E937" s="1"/>
      <c r="F937" s="1"/>
      <c r="G937" s="1"/>
      <c r="H937" s="1"/>
      <c r="J937" s="1"/>
      <c r="K937" s="1"/>
      <c r="L937" s="1"/>
      <c r="M937" s="1"/>
      <c r="N937" s="1"/>
      <c r="O937" s="1"/>
      <c r="P937" s="1"/>
    </row>
    <row r="938" spans="1:16" ht="15.75" customHeight="1">
      <c r="A938" s="1"/>
      <c r="C938" s="1"/>
      <c r="D938" s="1"/>
      <c r="E938" s="1"/>
      <c r="F938" s="1"/>
      <c r="G938" s="1"/>
      <c r="H938" s="1"/>
      <c r="J938" s="1"/>
      <c r="K938" s="1"/>
      <c r="L938" s="1"/>
      <c r="M938" s="1"/>
      <c r="N938" s="1"/>
      <c r="O938" s="1"/>
      <c r="P938" s="1"/>
    </row>
    <row r="939" spans="1:16" ht="15.75" customHeight="1">
      <c r="A939" s="1"/>
      <c r="C939" s="1"/>
      <c r="D939" s="1"/>
      <c r="E939" s="1"/>
      <c r="F939" s="1"/>
      <c r="G939" s="1"/>
      <c r="H939" s="1"/>
      <c r="J939" s="1"/>
      <c r="K939" s="1"/>
      <c r="L939" s="1"/>
      <c r="M939" s="1"/>
      <c r="N939" s="1"/>
      <c r="O939" s="1"/>
      <c r="P939" s="1"/>
    </row>
    <row r="940" spans="1:16" ht="15.75" customHeight="1">
      <c r="A940" s="1"/>
      <c r="C940" s="1"/>
      <c r="D940" s="1"/>
      <c r="E940" s="1"/>
      <c r="F940" s="1"/>
      <c r="G940" s="1"/>
      <c r="H940" s="1"/>
      <c r="J940" s="1"/>
      <c r="K940" s="1"/>
      <c r="L940" s="1"/>
      <c r="M940" s="1"/>
      <c r="N940" s="1"/>
      <c r="O940" s="1"/>
      <c r="P940" s="1"/>
    </row>
    <row r="941" spans="1:16" ht="15.75" customHeight="1">
      <c r="A941" s="1"/>
      <c r="C941" s="1"/>
      <c r="D941" s="1"/>
      <c r="E941" s="1"/>
      <c r="F941" s="1"/>
      <c r="G941" s="1"/>
      <c r="H941" s="1"/>
      <c r="J941" s="1"/>
      <c r="K941" s="1"/>
      <c r="L941" s="1"/>
      <c r="M941" s="1"/>
      <c r="N941" s="1"/>
      <c r="O941" s="1"/>
      <c r="P941" s="1"/>
    </row>
    <row r="942" spans="1:16" ht="15.75" customHeight="1">
      <c r="A942" s="1"/>
      <c r="C942" s="1"/>
      <c r="D942" s="1"/>
      <c r="E942" s="1"/>
      <c r="F942" s="1"/>
      <c r="G942" s="1"/>
      <c r="H942" s="1"/>
      <c r="J942" s="1"/>
      <c r="K942" s="1"/>
      <c r="L942" s="1"/>
      <c r="M942" s="1"/>
      <c r="N942" s="1"/>
      <c r="O942" s="1"/>
      <c r="P942" s="1"/>
    </row>
    <row r="943" spans="1:16" ht="15.75" customHeight="1">
      <c r="A943" s="1"/>
      <c r="C943" s="1"/>
      <c r="D943" s="1"/>
      <c r="E943" s="1"/>
      <c r="F943" s="1"/>
      <c r="G943" s="1"/>
      <c r="H943" s="1"/>
      <c r="J943" s="1"/>
      <c r="K943" s="1"/>
      <c r="L943" s="1"/>
      <c r="M943" s="1"/>
      <c r="N943" s="1"/>
      <c r="O943" s="1"/>
      <c r="P943" s="1"/>
    </row>
    <row r="944" spans="1:16" ht="15.75" customHeight="1">
      <c r="A944" s="1"/>
      <c r="C944" s="1"/>
      <c r="D944" s="1"/>
      <c r="E944" s="1"/>
      <c r="F944" s="1"/>
      <c r="G944" s="1"/>
      <c r="H944" s="1"/>
      <c r="J944" s="1"/>
      <c r="K944" s="1"/>
      <c r="L944" s="1"/>
      <c r="M944" s="1"/>
      <c r="N944" s="1"/>
      <c r="O944" s="1"/>
      <c r="P944" s="1"/>
    </row>
    <row r="945" spans="1:16" ht="15.75" customHeight="1">
      <c r="A945" s="1"/>
      <c r="C945" s="1"/>
      <c r="D945" s="1"/>
      <c r="E945" s="1"/>
      <c r="F945" s="1"/>
      <c r="G945" s="1"/>
      <c r="H945" s="1"/>
      <c r="J945" s="1"/>
      <c r="K945" s="1"/>
      <c r="L945" s="1"/>
      <c r="M945" s="1"/>
      <c r="N945" s="1"/>
      <c r="O945" s="1"/>
      <c r="P945" s="1"/>
    </row>
    <row r="946" spans="1:16" ht="15.75" customHeight="1">
      <c r="A946" s="1"/>
      <c r="C946" s="1"/>
      <c r="D946" s="1"/>
      <c r="E946" s="1"/>
      <c r="F946" s="1"/>
      <c r="G946" s="1"/>
      <c r="H946" s="1"/>
      <c r="J946" s="1"/>
      <c r="K946" s="1"/>
      <c r="L946" s="1"/>
      <c r="M946" s="1"/>
      <c r="N946" s="1"/>
      <c r="O946" s="1"/>
      <c r="P946" s="1"/>
    </row>
    <row r="947" spans="1:16" ht="15.75" customHeight="1">
      <c r="A947" s="1"/>
      <c r="C947" s="1"/>
      <c r="D947" s="1"/>
      <c r="E947" s="1"/>
      <c r="F947" s="1"/>
      <c r="G947" s="1"/>
      <c r="H947" s="1"/>
      <c r="J947" s="1"/>
      <c r="K947" s="1"/>
      <c r="L947" s="1"/>
      <c r="M947" s="1"/>
      <c r="N947" s="1"/>
      <c r="O947" s="1"/>
      <c r="P947" s="1"/>
    </row>
    <row r="948" spans="1:16" ht="15.75" customHeight="1">
      <c r="A948" s="1"/>
      <c r="C948" s="1"/>
      <c r="D948" s="1"/>
      <c r="E948" s="1"/>
      <c r="F948" s="1"/>
      <c r="G948" s="1"/>
      <c r="H948" s="1"/>
      <c r="J948" s="1"/>
      <c r="K948" s="1"/>
      <c r="L948" s="1"/>
      <c r="M948" s="1"/>
      <c r="N948" s="1"/>
      <c r="O948" s="1"/>
      <c r="P948" s="1"/>
    </row>
    <row r="949" spans="1:16" ht="15.75" customHeight="1">
      <c r="A949" s="1"/>
      <c r="C949" s="1"/>
      <c r="D949" s="1"/>
      <c r="E949" s="1"/>
      <c r="F949" s="1"/>
      <c r="G949" s="1"/>
      <c r="H949" s="1"/>
      <c r="J949" s="1"/>
      <c r="K949" s="1"/>
      <c r="L949" s="1"/>
      <c r="M949" s="1"/>
      <c r="N949" s="1"/>
      <c r="O949" s="1"/>
      <c r="P949" s="1"/>
    </row>
    <row r="950" spans="1:16" ht="15.75" customHeight="1">
      <c r="A950" s="1"/>
      <c r="C950" s="1"/>
      <c r="D950" s="1"/>
      <c r="E950" s="1"/>
      <c r="F950" s="1"/>
      <c r="G950" s="1"/>
      <c r="H950" s="1"/>
      <c r="J950" s="1"/>
      <c r="K950" s="1"/>
      <c r="L950" s="1"/>
      <c r="M950" s="1"/>
      <c r="N950" s="1"/>
      <c r="O950" s="1"/>
      <c r="P950" s="1"/>
    </row>
    <row r="951" spans="1:16" ht="15.75" customHeight="1">
      <c r="A951" s="1"/>
      <c r="C951" s="1"/>
      <c r="D951" s="1"/>
      <c r="E951" s="1"/>
      <c r="F951" s="1"/>
      <c r="G951" s="1"/>
      <c r="H951" s="1"/>
      <c r="J951" s="1"/>
      <c r="K951" s="1"/>
      <c r="L951" s="1"/>
      <c r="M951" s="1"/>
      <c r="N951" s="1"/>
      <c r="O951" s="1"/>
      <c r="P951" s="1"/>
    </row>
    <row r="952" spans="1:16" ht="15.75" customHeight="1">
      <c r="A952" s="1"/>
      <c r="C952" s="1"/>
      <c r="D952" s="1"/>
      <c r="E952" s="1"/>
      <c r="F952" s="1"/>
      <c r="G952" s="1"/>
      <c r="H952" s="1"/>
      <c r="J952" s="1"/>
      <c r="K952" s="1"/>
      <c r="L952" s="1"/>
      <c r="M952" s="1"/>
      <c r="N952" s="1"/>
      <c r="O952" s="1"/>
      <c r="P952" s="1"/>
    </row>
    <row r="953" spans="1:16" ht="15.75" customHeight="1">
      <c r="A953" s="1"/>
      <c r="C953" s="1"/>
      <c r="D953" s="1"/>
      <c r="E953" s="1"/>
      <c r="F953" s="1"/>
      <c r="G953" s="1"/>
      <c r="H953" s="1"/>
      <c r="J953" s="1"/>
      <c r="K953" s="1"/>
      <c r="L953" s="1"/>
      <c r="M953" s="1"/>
      <c r="N953" s="1"/>
      <c r="O953" s="1"/>
      <c r="P953" s="1"/>
    </row>
    <row r="954" spans="1:16" ht="15.75" customHeight="1">
      <c r="A954" s="1"/>
      <c r="C954" s="1"/>
      <c r="D954" s="1"/>
      <c r="E954" s="1"/>
      <c r="F954" s="1"/>
      <c r="G954" s="1"/>
      <c r="H954" s="1"/>
      <c r="J954" s="1"/>
      <c r="K954" s="1"/>
      <c r="L954" s="1"/>
      <c r="M954" s="1"/>
      <c r="N954" s="1"/>
      <c r="O954" s="1"/>
      <c r="P954" s="1"/>
    </row>
    <row r="955" spans="1:16" ht="15.75" customHeight="1">
      <c r="A955" s="1"/>
      <c r="C955" s="1"/>
      <c r="D955" s="1"/>
      <c r="E955" s="1"/>
      <c r="F955" s="1"/>
      <c r="G955" s="1"/>
      <c r="H955" s="1"/>
      <c r="J955" s="1"/>
      <c r="K955" s="1"/>
      <c r="L955" s="1"/>
      <c r="M955" s="1"/>
      <c r="N955" s="1"/>
      <c r="O955" s="1"/>
      <c r="P955" s="1"/>
    </row>
    <row r="956" spans="1:16" ht="15.75" customHeight="1">
      <c r="A956" s="1"/>
      <c r="C956" s="1"/>
      <c r="D956" s="1"/>
      <c r="E956" s="1"/>
      <c r="F956" s="1"/>
      <c r="G956" s="1"/>
      <c r="H956" s="1"/>
      <c r="J956" s="1"/>
      <c r="K956" s="1"/>
      <c r="L956" s="1"/>
      <c r="M956" s="1"/>
      <c r="N956" s="1"/>
      <c r="O956" s="1"/>
      <c r="P956" s="1"/>
    </row>
    <row r="957" spans="1:16" ht="15.75" customHeight="1">
      <c r="A957" s="1"/>
      <c r="C957" s="1"/>
      <c r="D957" s="1"/>
      <c r="E957" s="1"/>
      <c r="F957" s="1"/>
      <c r="G957" s="1"/>
      <c r="H957" s="1"/>
      <c r="J957" s="1"/>
      <c r="K957" s="1"/>
      <c r="L957" s="1"/>
      <c r="M957" s="1"/>
      <c r="N957" s="1"/>
      <c r="O957" s="1"/>
      <c r="P957" s="1"/>
    </row>
    <row r="958" spans="1:16" ht="15.75" customHeight="1">
      <c r="A958" s="1"/>
      <c r="C958" s="1"/>
      <c r="D958" s="1"/>
      <c r="E958" s="1"/>
      <c r="F958" s="1"/>
      <c r="G958" s="1"/>
      <c r="H958" s="1"/>
      <c r="J958" s="1"/>
      <c r="K958" s="1"/>
      <c r="L958" s="1"/>
      <c r="M958" s="1"/>
      <c r="N958" s="1"/>
      <c r="O958" s="1"/>
      <c r="P958" s="1"/>
    </row>
    <row r="959" spans="1:16" ht="15.75" customHeight="1">
      <c r="A959" s="1"/>
      <c r="C959" s="1"/>
      <c r="D959" s="1"/>
      <c r="E959" s="1"/>
      <c r="F959" s="1"/>
      <c r="G959" s="1"/>
      <c r="H959" s="1"/>
      <c r="J959" s="1"/>
      <c r="K959" s="1"/>
      <c r="L959" s="1"/>
      <c r="M959" s="1"/>
      <c r="N959" s="1"/>
      <c r="O959" s="1"/>
      <c r="P959" s="1"/>
    </row>
    <row r="960" spans="1:16" ht="15.75" customHeight="1">
      <c r="A960" s="1"/>
      <c r="C960" s="1"/>
      <c r="D960" s="1"/>
      <c r="E960" s="1"/>
      <c r="F960" s="1"/>
      <c r="G960" s="1"/>
      <c r="H960" s="1"/>
      <c r="J960" s="1"/>
      <c r="K960" s="1"/>
      <c r="L960" s="1"/>
      <c r="M960" s="1"/>
      <c r="N960" s="1"/>
      <c r="O960" s="1"/>
      <c r="P960" s="1"/>
    </row>
    <row r="961" spans="1:16" ht="15.75" customHeight="1">
      <c r="A961" s="1"/>
      <c r="C961" s="1"/>
      <c r="D961" s="1"/>
      <c r="E961" s="1"/>
      <c r="F961" s="1"/>
      <c r="G961" s="1"/>
      <c r="H961" s="1"/>
      <c r="J961" s="1"/>
      <c r="K961" s="1"/>
      <c r="L961" s="1"/>
      <c r="M961" s="1"/>
      <c r="N961" s="1"/>
      <c r="O961" s="1"/>
      <c r="P961" s="1"/>
    </row>
    <row r="962" spans="1:16" ht="15.75" customHeight="1">
      <c r="A962" s="1"/>
      <c r="C962" s="1"/>
      <c r="D962" s="1"/>
      <c r="E962" s="1"/>
      <c r="F962" s="1"/>
      <c r="G962" s="1"/>
      <c r="H962" s="1"/>
      <c r="J962" s="1"/>
      <c r="K962" s="1"/>
      <c r="L962" s="1"/>
      <c r="M962" s="1"/>
      <c r="N962" s="1"/>
      <c r="O962" s="1"/>
      <c r="P962" s="1"/>
    </row>
    <row r="963" spans="1:16" ht="15.75" customHeight="1">
      <c r="A963" s="1"/>
      <c r="C963" s="1"/>
      <c r="D963" s="1"/>
      <c r="E963" s="1"/>
      <c r="F963" s="1"/>
      <c r="G963" s="1"/>
      <c r="H963" s="1"/>
      <c r="J963" s="1"/>
      <c r="K963" s="1"/>
      <c r="L963" s="1"/>
      <c r="M963" s="1"/>
      <c r="N963" s="1"/>
      <c r="O963" s="1"/>
      <c r="P963" s="1"/>
    </row>
    <row r="964" spans="1:16" ht="15.75" customHeight="1">
      <c r="A964" s="1"/>
      <c r="C964" s="1"/>
      <c r="D964" s="1"/>
      <c r="E964" s="1"/>
      <c r="F964" s="1"/>
      <c r="G964" s="1"/>
      <c r="H964" s="1"/>
      <c r="J964" s="1"/>
      <c r="K964" s="1"/>
      <c r="L964" s="1"/>
      <c r="M964" s="1"/>
      <c r="N964" s="1"/>
      <c r="O964" s="1"/>
      <c r="P964" s="1"/>
    </row>
    <row r="965" spans="1:16" ht="15.75" customHeight="1">
      <c r="A965" s="1"/>
      <c r="C965" s="1"/>
      <c r="D965" s="1"/>
      <c r="E965" s="1"/>
      <c r="F965" s="1"/>
      <c r="G965" s="1"/>
      <c r="H965" s="1"/>
      <c r="J965" s="1"/>
      <c r="K965" s="1"/>
      <c r="L965" s="1"/>
      <c r="M965" s="1"/>
      <c r="N965" s="1"/>
      <c r="O965" s="1"/>
      <c r="P965" s="1"/>
    </row>
    <row r="966" spans="1:16" ht="15.75" customHeight="1">
      <c r="A966" s="1"/>
      <c r="C966" s="1"/>
      <c r="D966" s="1"/>
      <c r="E966" s="1"/>
      <c r="F966" s="1"/>
      <c r="G966" s="1"/>
      <c r="H966" s="1"/>
      <c r="J966" s="1"/>
      <c r="K966" s="1"/>
      <c r="L966" s="1"/>
      <c r="M966" s="1"/>
      <c r="N966" s="1"/>
      <c r="O966" s="1"/>
      <c r="P966" s="1"/>
    </row>
    <row r="967" spans="1:16" ht="15.75" customHeight="1">
      <c r="A967" s="1"/>
      <c r="C967" s="1"/>
      <c r="D967" s="1"/>
      <c r="E967" s="1"/>
      <c r="F967" s="1"/>
      <c r="G967" s="1"/>
      <c r="H967" s="1"/>
      <c r="J967" s="1"/>
      <c r="K967" s="1"/>
      <c r="L967" s="1"/>
      <c r="M967" s="1"/>
      <c r="N967" s="1"/>
      <c r="O967" s="1"/>
      <c r="P967" s="1"/>
    </row>
    <row r="968" spans="1:16" ht="15.75" customHeight="1">
      <c r="A968" s="1"/>
      <c r="C968" s="1"/>
      <c r="D968" s="1"/>
      <c r="E968" s="1"/>
      <c r="F968" s="1"/>
      <c r="G968" s="1"/>
      <c r="H968" s="1"/>
      <c r="J968" s="1"/>
      <c r="K968" s="1"/>
      <c r="L968" s="1"/>
      <c r="M968" s="1"/>
      <c r="N968" s="1"/>
      <c r="O968" s="1"/>
      <c r="P968" s="1"/>
    </row>
    <row r="969" spans="1:16" ht="15.75" customHeight="1">
      <c r="A969" s="1"/>
      <c r="C969" s="1"/>
      <c r="D969" s="1"/>
      <c r="E969" s="1"/>
      <c r="F969" s="1"/>
      <c r="G969" s="1"/>
      <c r="H969" s="1"/>
      <c r="J969" s="1"/>
      <c r="K969" s="1"/>
      <c r="L969" s="1"/>
      <c r="M969" s="1"/>
      <c r="N969" s="1"/>
      <c r="O969" s="1"/>
      <c r="P969" s="1"/>
    </row>
    <row r="970" spans="1:16" ht="15.75" customHeight="1">
      <c r="A970" s="1"/>
      <c r="C970" s="1"/>
      <c r="D970" s="1"/>
      <c r="E970" s="1"/>
      <c r="F970" s="1"/>
      <c r="G970" s="1"/>
      <c r="H970" s="1"/>
      <c r="J970" s="1"/>
      <c r="K970" s="1"/>
      <c r="L970" s="1"/>
      <c r="M970" s="1"/>
      <c r="N970" s="1"/>
      <c r="O970" s="1"/>
      <c r="P970" s="1"/>
    </row>
    <row r="971" spans="1:16" ht="15.75" customHeight="1">
      <c r="A971" s="1"/>
      <c r="C971" s="1"/>
      <c r="D971" s="1"/>
      <c r="E971" s="1"/>
      <c r="F971" s="1"/>
      <c r="G971" s="1"/>
      <c r="H971" s="1"/>
      <c r="J971" s="1"/>
      <c r="K971" s="1"/>
      <c r="L971" s="1"/>
      <c r="M971" s="1"/>
      <c r="N971" s="1"/>
      <c r="O971" s="1"/>
      <c r="P971" s="1"/>
    </row>
    <row r="972" spans="1:16" ht="15.75" customHeight="1">
      <c r="A972" s="1"/>
      <c r="C972" s="1"/>
      <c r="D972" s="1"/>
      <c r="E972" s="1"/>
      <c r="F972" s="1"/>
      <c r="G972" s="1"/>
      <c r="H972" s="1"/>
      <c r="J972" s="1"/>
      <c r="K972" s="1"/>
      <c r="L972" s="1"/>
      <c r="M972" s="1"/>
      <c r="N972" s="1"/>
      <c r="O972" s="1"/>
      <c r="P972" s="1"/>
    </row>
    <row r="973" spans="1:16" ht="15.75" customHeight="1">
      <c r="A973" s="1"/>
      <c r="C973" s="1"/>
      <c r="D973" s="1"/>
      <c r="E973" s="1"/>
      <c r="F973" s="1"/>
      <c r="G973" s="1"/>
      <c r="H973" s="1"/>
      <c r="J973" s="1"/>
      <c r="K973" s="1"/>
      <c r="L973" s="1"/>
      <c r="M973" s="1"/>
      <c r="N973" s="1"/>
      <c r="O973" s="1"/>
      <c r="P973" s="1"/>
    </row>
    <row r="974" spans="1:16" ht="15.75" customHeight="1">
      <c r="A974" s="1"/>
      <c r="C974" s="1"/>
      <c r="D974" s="1"/>
      <c r="E974" s="1"/>
      <c r="F974" s="1"/>
      <c r="G974" s="1"/>
      <c r="H974" s="1"/>
      <c r="J974" s="1"/>
      <c r="K974" s="1"/>
      <c r="L974" s="1"/>
      <c r="M974" s="1"/>
      <c r="N974" s="1"/>
      <c r="O974" s="1"/>
      <c r="P974" s="1"/>
    </row>
    <row r="975" spans="1:16" ht="15.75" customHeight="1">
      <c r="A975" s="1"/>
      <c r="C975" s="1"/>
      <c r="D975" s="1"/>
      <c r="E975" s="1"/>
      <c r="F975" s="1"/>
      <c r="G975" s="1"/>
      <c r="H975" s="1"/>
      <c r="J975" s="1"/>
      <c r="K975" s="1"/>
      <c r="L975" s="1"/>
      <c r="M975" s="1"/>
      <c r="N975" s="1"/>
      <c r="O975" s="1"/>
      <c r="P975" s="1"/>
    </row>
    <row r="976" spans="1:16" ht="15.75" customHeight="1">
      <c r="A976" s="1"/>
      <c r="C976" s="1"/>
      <c r="D976" s="1"/>
      <c r="E976" s="1"/>
      <c r="F976" s="1"/>
      <c r="G976" s="1"/>
      <c r="H976" s="1"/>
      <c r="J976" s="1"/>
      <c r="K976" s="1"/>
      <c r="L976" s="1"/>
      <c r="M976" s="1"/>
      <c r="N976" s="1"/>
      <c r="O976" s="1"/>
      <c r="P976" s="1"/>
    </row>
    <row r="977" spans="1:16" ht="15.75" customHeight="1">
      <c r="A977" s="1"/>
      <c r="C977" s="1"/>
      <c r="D977" s="1"/>
      <c r="E977" s="1"/>
      <c r="F977" s="1"/>
      <c r="G977" s="1"/>
      <c r="H977" s="1"/>
      <c r="J977" s="1"/>
      <c r="K977" s="1"/>
      <c r="L977" s="1"/>
      <c r="M977" s="1"/>
      <c r="N977" s="1"/>
      <c r="O977" s="1"/>
      <c r="P977" s="1"/>
    </row>
    <row r="978" spans="1:16" ht="15.75" customHeight="1">
      <c r="A978" s="1"/>
      <c r="C978" s="1"/>
      <c r="D978" s="1"/>
      <c r="E978" s="1"/>
      <c r="F978" s="1"/>
      <c r="G978" s="1"/>
      <c r="H978" s="1"/>
      <c r="J978" s="1"/>
      <c r="K978" s="1"/>
      <c r="L978" s="1"/>
      <c r="M978" s="1"/>
      <c r="N978" s="1"/>
      <c r="O978" s="1"/>
      <c r="P978" s="1"/>
    </row>
    <row r="979" spans="1:16" ht="15.75" customHeight="1">
      <c r="A979" s="1"/>
      <c r="C979" s="1"/>
      <c r="D979" s="1"/>
      <c r="E979" s="1"/>
      <c r="F979" s="1"/>
      <c r="G979" s="1"/>
      <c r="H979" s="1"/>
      <c r="J979" s="1"/>
      <c r="K979" s="1"/>
      <c r="L979" s="1"/>
      <c r="M979" s="1"/>
      <c r="N979" s="1"/>
      <c r="O979" s="1"/>
      <c r="P979" s="1"/>
    </row>
    <row r="980" spans="1:16" ht="15.75" customHeight="1">
      <c r="A980" s="1"/>
      <c r="C980" s="1"/>
      <c r="D980" s="1"/>
      <c r="E980" s="1"/>
      <c r="F980" s="1"/>
      <c r="G980" s="1"/>
      <c r="H980" s="1"/>
      <c r="J980" s="1"/>
      <c r="K980" s="1"/>
      <c r="L980" s="1"/>
      <c r="M980" s="1"/>
      <c r="N980" s="1"/>
      <c r="O980" s="1"/>
      <c r="P980" s="1"/>
    </row>
    <row r="981" spans="1:16" ht="15.75" customHeight="1">
      <c r="A981" s="1"/>
      <c r="C981" s="1"/>
      <c r="D981" s="1"/>
      <c r="E981" s="1"/>
      <c r="F981" s="1"/>
      <c r="G981" s="1"/>
      <c r="H981" s="1"/>
      <c r="J981" s="1"/>
      <c r="K981" s="1"/>
      <c r="L981" s="1"/>
      <c r="M981" s="1"/>
      <c r="N981" s="1"/>
      <c r="O981" s="1"/>
      <c r="P981" s="1"/>
    </row>
    <row r="982" spans="1:16" ht="15.75" customHeight="1">
      <c r="A982" s="1"/>
      <c r="C982" s="1"/>
      <c r="D982" s="1"/>
      <c r="E982" s="1"/>
      <c r="F982" s="1"/>
      <c r="G982" s="1"/>
      <c r="H982" s="1"/>
      <c r="J982" s="1"/>
      <c r="K982" s="1"/>
      <c r="L982" s="1"/>
      <c r="M982" s="1"/>
      <c r="N982" s="1"/>
      <c r="O982" s="1"/>
      <c r="P982" s="1"/>
    </row>
    <row r="983" spans="1:16" ht="15.75" customHeight="1">
      <c r="A983" s="1"/>
      <c r="C983" s="1"/>
      <c r="D983" s="1"/>
      <c r="E983" s="1"/>
      <c r="F983" s="1"/>
      <c r="G983" s="1"/>
      <c r="H983" s="1"/>
      <c r="J983" s="1"/>
      <c r="K983" s="1"/>
      <c r="L983" s="1"/>
      <c r="M983" s="1"/>
      <c r="N983" s="1"/>
      <c r="O983" s="1"/>
      <c r="P983" s="1"/>
    </row>
    <row r="984" spans="1:16" ht="15.75" customHeight="1">
      <c r="A984" s="1"/>
      <c r="C984" s="1"/>
      <c r="D984" s="1"/>
      <c r="E984" s="1"/>
      <c r="F984" s="1"/>
      <c r="G984" s="1"/>
      <c r="H984" s="1"/>
      <c r="J984" s="1"/>
      <c r="K984" s="1"/>
      <c r="L984" s="1"/>
      <c r="M984" s="1"/>
      <c r="N984" s="1"/>
      <c r="O984" s="1"/>
      <c r="P984" s="1"/>
    </row>
    <row r="985" spans="1:16" ht="15.75" customHeight="1">
      <c r="A985" s="1"/>
      <c r="C985" s="1"/>
      <c r="D985" s="1"/>
      <c r="E985" s="1"/>
      <c r="F985" s="1"/>
      <c r="G985" s="1"/>
      <c r="H985" s="1"/>
      <c r="J985" s="1"/>
      <c r="K985" s="1"/>
      <c r="L985" s="1"/>
      <c r="M985" s="1"/>
      <c r="N985" s="1"/>
      <c r="O985" s="1"/>
      <c r="P985" s="1"/>
    </row>
    <row r="986" spans="1:16" ht="15.75" customHeight="1">
      <c r="A986" s="1"/>
      <c r="C986" s="1"/>
      <c r="D986" s="1"/>
      <c r="E986" s="1"/>
      <c r="F986" s="1"/>
      <c r="G986" s="1"/>
      <c r="H986" s="1"/>
      <c r="J986" s="1"/>
      <c r="K986" s="1"/>
      <c r="L986" s="1"/>
      <c r="M986" s="1"/>
      <c r="N986" s="1"/>
      <c r="O986" s="1"/>
      <c r="P986" s="1"/>
    </row>
    <row r="987" spans="1:16" ht="15.75" customHeight="1">
      <c r="A987" s="1"/>
      <c r="C987" s="1"/>
      <c r="D987" s="1"/>
      <c r="E987" s="1"/>
      <c r="F987" s="1"/>
      <c r="G987" s="1"/>
      <c r="H987" s="1"/>
      <c r="J987" s="1"/>
      <c r="K987" s="1"/>
      <c r="L987" s="1"/>
      <c r="M987" s="1"/>
      <c r="N987" s="1"/>
      <c r="O987" s="1"/>
      <c r="P987" s="1"/>
    </row>
    <row r="988" spans="1:16" ht="15.75" customHeight="1">
      <c r="A988" s="1"/>
      <c r="C988" s="1"/>
      <c r="D988" s="1"/>
      <c r="E988" s="1"/>
      <c r="F988" s="1"/>
      <c r="G988" s="1"/>
      <c r="H988" s="1"/>
      <c r="J988" s="1"/>
      <c r="K988" s="1"/>
      <c r="L988" s="1"/>
      <c r="M988" s="1"/>
      <c r="N988" s="1"/>
      <c r="O988" s="1"/>
      <c r="P988" s="1"/>
    </row>
    <row r="989" spans="1:16" ht="15.75" customHeight="1">
      <c r="A989" s="1"/>
      <c r="C989" s="1"/>
      <c r="D989" s="1"/>
      <c r="E989" s="1"/>
      <c r="F989" s="1"/>
      <c r="G989" s="1"/>
      <c r="H989" s="1"/>
      <c r="J989" s="1"/>
      <c r="K989" s="1"/>
      <c r="L989" s="1"/>
      <c r="M989" s="1"/>
      <c r="N989" s="1"/>
      <c r="O989" s="1"/>
      <c r="P989" s="1"/>
    </row>
    <row r="990" spans="1:16" ht="15.75" customHeight="1">
      <c r="A990" s="1"/>
      <c r="C990" s="1"/>
      <c r="D990" s="1"/>
      <c r="E990" s="1"/>
      <c r="F990" s="1"/>
      <c r="G990" s="1"/>
      <c r="H990" s="1"/>
      <c r="J990" s="1"/>
      <c r="K990" s="1"/>
      <c r="L990" s="1"/>
      <c r="M990" s="1"/>
      <c r="N990" s="1"/>
      <c r="O990" s="1"/>
      <c r="P990" s="1"/>
    </row>
    <row r="991" spans="1:16" ht="15.75" customHeight="1">
      <c r="A991" s="1"/>
      <c r="C991" s="1"/>
      <c r="D991" s="1"/>
      <c r="E991" s="1"/>
      <c r="F991" s="1"/>
      <c r="G991" s="1"/>
      <c r="H991" s="1"/>
      <c r="J991" s="1"/>
      <c r="K991" s="1"/>
      <c r="L991" s="1"/>
      <c r="M991" s="1"/>
      <c r="N991" s="1"/>
      <c r="O991" s="1"/>
      <c r="P991" s="1"/>
    </row>
    <row r="992" spans="1:16" ht="15.75" customHeight="1">
      <c r="A992" s="1"/>
      <c r="C992" s="1"/>
      <c r="D992" s="1"/>
      <c r="E992" s="1"/>
      <c r="F992" s="1"/>
      <c r="G992" s="1"/>
      <c r="H992" s="1"/>
      <c r="J992" s="1"/>
      <c r="K992" s="1"/>
      <c r="L992" s="1"/>
      <c r="M992" s="1"/>
      <c r="N992" s="1"/>
      <c r="O992" s="1"/>
      <c r="P992" s="1"/>
    </row>
    <row r="993" spans="1:16" ht="15.75" customHeight="1">
      <c r="A993" s="1"/>
      <c r="C993" s="1"/>
      <c r="D993" s="1"/>
      <c r="E993" s="1"/>
      <c r="F993" s="1"/>
      <c r="G993" s="1"/>
      <c r="H993" s="1"/>
      <c r="J993" s="1"/>
      <c r="K993" s="1"/>
      <c r="L993" s="1"/>
      <c r="M993" s="1"/>
      <c r="N993" s="1"/>
      <c r="O993" s="1"/>
      <c r="P993" s="1"/>
    </row>
    <row r="994" spans="1:16" ht="15.75" customHeight="1">
      <c r="A994" s="1"/>
      <c r="C994" s="1"/>
      <c r="D994" s="1"/>
      <c r="E994" s="1"/>
      <c r="F994" s="1"/>
      <c r="G994" s="1"/>
      <c r="H994" s="1"/>
      <c r="J994" s="1"/>
      <c r="K994" s="1"/>
      <c r="L994" s="1"/>
      <c r="M994" s="1"/>
      <c r="N994" s="1"/>
      <c r="O994" s="1"/>
      <c r="P994" s="1"/>
    </row>
    <row r="995" spans="1:16" ht="15.75" customHeight="1">
      <c r="A995" s="1"/>
      <c r="C995" s="1"/>
      <c r="D995" s="1"/>
      <c r="E995" s="1"/>
      <c r="F995" s="1"/>
      <c r="G995" s="1"/>
      <c r="H995" s="1"/>
      <c r="J995" s="1"/>
      <c r="K995" s="1"/>
      <c r="L995" s="1"/>
      <c r="M995" s="1"/>
      <c r="N995" s="1"/>
      <c r="O995" s="1"/>
      <c r="P995" s="1"/>
    </row>
    <row r="996" spans="1:16" ht="15.75" customHeight="1">
      <c r="A996" s="1"/>
      <c r="C996" s="1"/>
      <c r="D996" s="1"/>
      <c r="E996" s="1"/>
      <c r="F996" s="1"/>
      <c r="G996" s="1"/>
      <c r="H996" s="1"/>
      <c r="J996" s="1"/>
      <c r="K996" s="1"/>
      <c r="L996" s="1"/>
      <c r="M996" s="1"/>
      <c r="N996" s="1"/>
      <c r="O996" s="1"/>
      <c r="P996" s="1"/>
    </row>
    <row r="997" spans="1:16" ht="15.75" customHeight="1">
      <c r="A997" s="1"/>
      <c r="C997" s="1"/>
      <c r="D997" s="1"/>
      <c r="E997" s="1"/>
      <c r="F997" s="1"/>
      <c r="G997" s="1"/>
      <c r="H997" s="1"/>
      <c r="J997" s="1"/>
      <c r="K997" s="1"/>
      <c r="L997" s="1"/>
      <c r="M997" s="1"/>
      <c r="N997" s="1"/>
      <c r="O997" s="1"/>
      <c r="P997" s="1"/>
    </row>
    <row r="998" spans="1:16" ht="15.75" customHeight="1">
      <c r="A998" s="1"/>
      <c r="C998" s="1"/>
      <c r="D998" s="1"/>
      <c r="E998" s="1"/>
      <c r="F998" s="1"/>
      <c r="G998" s="1"/>
      <c r="H998" s="1"/>
      <c r="J998" s="1"/>
      <c r="K998" s="1"/>
      <c r="L998" s="1"/>
      <c r="M998" s="1"/>
      <c r="N998" s="1"/>
      <c r="O998" s="1"/>
      <c r="P998" s="1"/>
    </row>
    <row r="999" spans="1:16" ht="15.75" customHeight="1">
      <c r="A999" s="1"/>
      <c r="C999" s="1"/>
      <c r="D999" s="1"/>
      <c r="E999" s="1"/>
      <c r="F999" s="1"/>
      <c r="G999" s="1"/>
      <c r="H999" s="1"/>
      <c r="J999" s="1"/>
      <c r="K999" s="1"/>
      <c r="L999" s="1"/>
      <c r="M999" s="1"/>
      <c r="N999" s="1"/>
      <c r="O999" s="1"/>
      <c r="P999" s="1"/>
    </row>
    <row r="1000" spans="1:16" ht="15.75" customHeight="1">
      <c r="A1000" s="1"/>
      <c r="C1000" s="1"/>
      <c r="D1000" s="1"/>
      <c r="E1000" s="1"/>
      <c r="F1000" s="1"/>
      <c r="G1000" s="1"/>
      <c r="H1000" s="1"/>
      <c r="J1000" s="1"/>
      <c r="K1000" s="1"/>
      <c r="L1000" s="1"/>
      <c r="M1000" s="1"/>
      <c r="N1000" s="1"/>
      <c r="O1000" s="1"/>
      <c r="P1000" s="1"/>
    </row>
  </sheetData>
  <mergeCells count="10">
    <mergeCell ref="A12:A26"/>
    <mergeCell ref="N2:N3"/>
    <mergeCell ref="O2:O3"/>
    <mergeCell ref="A2:A3"/>
    <mergeCell ref="B2:E2"/>
    <mergeCell ref="F2:F3"/>
    <mergeCell ref="G2:G3"/>
    <mergeCell ref="H2:H3"/>
    <mergeCell ref="I2:L2"/>
    <mergeCell ref="M2:M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showGridLines="0" workbookViewId="0">
      <pane xSplit="1" topLeftCell="B8" activePane="topRight" state="frozen"/>
      <selection pane="topRight" activeCell="B25" sqref="B25"/>
    </sheetView>
  </sheetViews>
  <sheetFormatPr defaultColWidth="14.42578125" defaultRowHeight="15" customHeight="1"/>
  <cols>
    <col min="1" max="1" width="30.42578125" customWidth="1"/>
    <col min="2" max="4" width="9.85546875" customWidth="1"/>
    <col min="5" max="5" width="13.140625" customWidth="1"/>
    <col min="6" max="6" width="13.5703125" customWidth="1"/>
    <col min="7" max="7" width="15" customWidth="1"/>
    <col min="8" max="8" width="9.85546875" customWidth="1"/>
    <col min="9" max="13" width="15.85546875" customWidth="1"/>
    <col min="14" max="14" width="12.85546875" customWidth="1"/>
    <col min="15" max="17" width="9.85546875" customWidth="1"/>
    <col min="18" max="18" width="13.140625" customWidth="1"/>
    <col min="19" max="19" width="12.85546875" customWidth="1"/>
    <col min="20" max="20" width="14.28515625" customWidth="1"/>
    <col min="21" max="23" width="10.7109375" customWidth="1"/>
    <col min="24" max="24" width="15.140625" customWidth="1"/>
    <col min="25" max="25" width="13" customWidth="1"/>
    <col min="26" max="26" width="14.7109375" customWidth="1"/>
    <col min="27" max="27" width="10.7109375" customWidth="1"/>
    <col min="28" max="28" width="10.140625" customWidth="1"/>
    <col min="29" max="29" width="15.140625" customWidth="1"/>
    <col min="30" max="38" width="10.7109375" customWidth="1"/>
  </cols>
  <sheetData>
    <row r="1" spans="1:38" ht="13.5" customHeight="1">
      <c r="A1" s="1" t="s">
        <v>26</v>
      </c>
      <c r="B1" s="1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1"/>
      <c r="AA1" s="181"/>
      <c r="AB1" s="181"/>
      <c r="AC1" s="181"/>
      <c r="AD1" s="181"/>
      <c r="AE1" s="1"/>
      <c r="AF1" s="1"/>
      <c r="AG1" s="1"/>
      <c r="AH1" s="1"/>
      <c r="AI1" s="1"/>
      <c r="AJ1" s="1"/>
      <c r="AK1" s="1"/>
      <c r="AL1" s="1"/>
    </row>
    <row r="2" spans="1:38" ht="18" customHeight="1">
      <c r="A2" s="219" t="s">
        <v>13</v>
      </c>
      <c r="B2" s="220" t="s">
        <v>47</v>
      </c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2"/>
      <c r="N2" s="223" t="s">
        <v>30</v>
      </c>
      <c r="O2" s="224" t="s">
        <v>48</v>
      </c>
      <c r="P2" s="208"/>
      <c r="Q2" s="208"/>
      <c r="R2" s="208"/>
      <c r="S2" s="208"/>
      <c r="T2" s="208"/>
      <c r="U2" s="217" t="s">
        <v>49</v>
      </c>
      <c r="V2" s="194"/>
      <c r="W2" s="194"/>
      <c r="X2" s="194"/>
      <c r="Y2" s="194"/>
      <c r="Z2" s="194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</row>
    <row r="3" spans="1:38" ht="13.5" customHeight="1">
      <c r="A3" s="215"/>
      <c r="B3" s="149">
        <v>2022</v>
      </c>
      <c r="C3" s="182">
        <v>2023</v>
      </c>
      <c r="D3" s="150">
        <v>2024</v>
      </c>
      <c r="E3" s="151">
        <v>45809</v>
      </c>
      <c r="F3" s="151">
        <v>45992</v>
      </c>
      <c r="G3" s="151">
        <v>46174</v>
      </c>
      <c r="H3" s="152" t="s">
        <v>50</v>
      </c>
      <c r="I3" s="152" t="s">
        <v>51</v>
      </c>
      <c r="J3" s="152" t="s">
        <v>52</v>
      </c>
      <c r="K3" s="152" t="s">
        <v>53</v>
      </c>
      <c r="L3" s="152" t="s">
        <v>54</v>
      </c>
      <c r="M3" s="6" t="s">
        <v>55</v>
      </c>
      <c r="N3" s="211"/>
      <c r="O3" s="149">
        <v>2022</v>
      </c>
      <c r="P3" s="182">
        <v>2023</v>
      </c>
      <c r="Q3" s="150">
        <v>2024</v>
      </c>
      <c r="R3" s="153">
        <v>45809</v>
      </c>
      <c r="S3" s="153">
        <v>45992</v>
      </c>
      <c r="T3" s="153">
        <v>46174</v>
      </c>
      <c r="U3" s="149">
        <v>2022</v>
      </c>
      <c r="V3" s="182">
        <v>2023</v>
      </c>
      <c r="W3" s="150">
        <v>2024</v>
      </c>
      <c r="X3" s="153">
        <v>45809</v>
      </c>
      <c r="Y3" s="151">
        <v>45992</v>
      </c>
      <c r="Z3" s="151">
        <v>46174</v>
      </c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</row>
    <row r="4" spans="1:38" ht="13.5" customHeight="1">
      <c r="A4" s="154" t="s">
        <v>16</v>
      </c>
      <c r="B4" s="8">
        <v>3.2199999999999999E-2</v>
      </c>
      <c r="C4" s="102">
        <v>4.58E-2</v>
      </c>
      <c r="D4" s="9">
        <v>4.4299999999999999E-2</v>
      </c>
      <c r="E4" s="98">
        <v>3.9E-2</v>
      </c>
      <c r="F4" s="155">
        <v>3.44E-2</v>
      </c>
      <c r="G4" s="155">
        <v>3.3599999999999998E-2</v>
      </c>
      <c r="H4" s="102">
        <f t="shared" ref="H4:H9" si="0">$C$10</f>
        <v>4.5650000000000003E-2</v>
      </c>
      <c r="I4" s="102">
        <f t="shared" ref="I4:I9" si="1">$D$10</f>
        <v>4.2399999999999993E-2</v>
      </c>
      <c r="J4" s="102">
        <f t="shared" ref="J4:J9" si="2">$E$10</f>
        <v>3.9466666666666664E-2</v>
      </c>
      <c r="K4" s="102">
        <f t="shared" ref="K4:K9" si="3">$F$10</f>
        <v>3.4533333333333333E-2</v>
      </c>
      <c r="L4" s="155">
        <f t="shared" ref="L4:L9" si="4">$G$10</f>
        <v>3.4166666666666665E-2</v>
      </c>
      <c r="M4" s="142">
        <f t="shared" ref="M4:M9" si="5">(F4-D4)/D4</f>
        <v>-0.22347629796839727</v>
      </c>
      <c r="N4" s="132">
        <f t="shared" ref="N4:N9" si="6">AVERAGE(B4:F4)</f>
        <v>3.9139999999999994E-2</v>
      </c>
      <c r="O4" s="8">
        <v>6.3799999999999996E-2</v>
      </c>
      <c r="P4" s="155">
        <v>8.4599999999999995E-2</v>
      </c>
      <c r="Q4" s="18">
        <v>8.5999999999999993E-2</v>
      </c>
      <c r="R4" s="20">
        <v>8.0699999999999994E-2</v>
      </c>
      <c r="S4" s="156">
        <v>7.4499999999999997E-2</v>
      </c>
      <c r="T4" s="155">
        <v>7.1099999999999997E-2</v>
      </c>
      <c r="U4" s="8">
        <v>7.0000000000000007E-2</v>
      </c>
      <c r="V4" s="155">
        <v>8.2900000000000001E-2</v>
      </c>
      <c r="W4" s="156">
        <v>9.2100000000000001E-2</v>
      </c>
      <c r="X4" s="20">
        <v>8.3199999999999996E-2</v>
      </c>
      <c r="Y4" s="156">
        <v>7.8100000000000003E-2</v>
      </c>
      <c r="Z4" s="156">
        <v>7.5999999999999998E-2</v>
      </c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</row>
    <row r="5" spans="1:38" ht="13.5" customHeight="1">
      <c r="A5" s="154" t="s">
        <v>18</v>
      </c>
      <c r="B5" s="8">
        <v>4.7E-2</v>
      </c>
      <c r="C5" s="102">
        <v>6.8099999999999994E-2</v>
      </c>
      <c r="D5" s="9">
        <v>5.4399999999999997E-2</v>
      </c>
      <c r="E5" s="98">
        <v>5.3100000000000001E-2</v>
      </c>
      <c r="F5" s="155">
        <v>4.3700000000000003E-2</v>
      </c>
      <c r="G5" s="157">
        <v>4.41E-2</v>
      </c>
      <c r="H5" s="102">
        <f t="shared" si="0"/>
        <v>4.5650000000000003E-2</v>
      </c>
      <c r="I5" s="102">
        <f t="shared" si="1"/>
        <v>4.2399999999999993E-2</v>
      </c>
      <c r="J5" s="102">
        <f t="shared" si="2"/>
        <v>3.9466666666666664E-2</v>
      </c>
      <c r="K5" s="102">
        <f t="shared" si="3"/>
        <v>3.4533333333333333E-2</v>
      </c>
      <c r="L5" s="155">
        <f t="shared" si="4"/>
        <v>3.4166666666666665E-2</v>
      </c>
      <c r="M5" s="142">
        <f t="shared" si="5"/>
        <v>-0.19669117647058815</v>
      </c>
      <c r="N5" s="132">
        <f t="shared" si="6"/>
        <v>5.3259999999999995E-2</v>
      </c>
      <c r="O5" s="8">
        <v>0.11169999999999999</v>
      </c>
      <c r="P5" s="155">
        <v>0.1411</v>
      </c>
      <c r="Q5" s="18">
        <v>0.1565</v>
      </c>
      <c r="R5" s="20">
        <v>0.15840000000000001</v>
      </c>
      <c r="S5" s="156">
        <v>0.14269999999999999</v>
      </c>
      <c r="T5" s="157">
        <v>0.1426</v>
      </c>
      <c r="U5" s="8">
        <v>0.10390000000000001</v>
      </c>
      <c r="V5" s="155">
        <v>0.1361</v>
      </c>
      <c r="W5" s="156">
        <v>0.1171</v>
      </c>
      <c r="X5" s="20">
        <v>0.11020000000000001</v>
      </c>
      <c r="Y5" s="156">
        <v>9.69E-2</v>
      </c>
      <c r="Z5" s="156">
        <v>9.5500000000000002E-2</v>
      </c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</row>
    <row r="6" spans="1:38" ht="13.5" customHeight="1">
      <c r="A6" s="154" t="s">
        <v>17</v>
      </c>
      <c r="B6" s="8">
        <v>3.6999999999999998E-2</v>
      </c>
      <c r="C6" s="102">
        <v>4.4299999999999999E-2</v>
      </c>
      <c r="D6" s="9">
        <v>4.3999999999999997E-2</v>
      </c>
      <c r="E6" s="98">
        <v>4.2999999999999997E-2</v>
      </c>
      <c r="F6" s="155">
        <v>3.85E-2</v>
      </c>
      <c r="G6" s="157">
        <v>3.9899999999999998E-2</v>
      </c>
      <c r="H6" s="102">
        <f t="shared" si="0"/>
        <v>4.5650000000000003E-2</v>
      </c>
      <c r="I6" s="102">
        <f t="shared" si="1"/>
        <v>4.2399999999999993E-2</v>
      </c>
      <c r="J6" s="102">
        <f t="shared" si="2"/>
        <v>3.9466666666666664E-2</v>
      </c>
      <c r="K6" s="102">
        <f t="shared" si="3"/>
        <v>3.4533333333333333E-2</v>
      </c>
      <c r="L6" s="155">
        <f t="shared" si="4"/>
        <v>3.4166666666666665E-2</v>
      </c>
      <c r="M6" s="142">
        <f t="shared" si="5"/>
        <v>-0.12499999999999996</v>
      </c>
      <c r="N6" s="132">
        <f t="shared" si="6"/>
        <v>4.1360000000000001E-2</v>
      </c>
      <c r="O6" s="8">
        <v>0.1038</v>
      </c>
      <c r="P6" s="155">
        <v>0.1106</v>
      </c>
      <c r="Q6" s="18">
        <v>0.11550000000000001</v>
      </c>
      <c r="R6" s="20">
        <v>0.1123</v>
      </c>
      <c r="S6" s="156">
        <v>0.1045</v>
      </c>
      <c r="T6" s="157">
        <v>0.1023</v>
      </c>
      <c r="U6" s="8">
        <v>8.6800000000000002E-2</v>
      </c>
      <c r="V6" s="155">
        <v>9.5899999999999999E-2</v>
      </c>
      <c r="W6" s="156">
        <v>8.9599999999999999E-2</v>
      </c>
      <c r="X6" s="20">
        <v>8.6300000000000002E-2</v>
      </c>
      <c r="Y6" s="156">
        <v>7.8600000000000003E-2</v>
      </c>
      <c r="Z6" s="20">
        <v>7.7200000000000005E-2</v>
      </c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</row>
    <row r="7" spans="1:38" ht="13.5" customHeight="1">
      <c r="A7" s="154" t="s">
        <v>19</v>
      </c>
      <c r="B7" s="8">
        <v>2.98E-2</v>
      </c>
      <c r="C7" s="102">
        <v>3.9600000000000003E-2</v>
      </c>
      <c r="D7" s="9">
        <v>3.2599999999999997E-2</v>
      </c>
      <c r="E7" s="98">
        <v>3.5400000000000001E-2</v>
      </c>
      <c r="F7" s="155">
        <v>3.1600000000000003E-2</v>
      </c>
      <c r="G7" s="157">
        <v>3.09E-2</v>
      </c>
      <c r="H7" s="102">
        <f t="shared" si="0"/>
        <v>4.5650000000000003E-2</v>
      </c>
      <c r="I7" s="102">
        <f t="shared" si="1"/>
        <v>4.2399999999999993E-2</v>
      </c>
      <c r="J7" s="102">
        <f t="shared" si="2"/>
        <v>3.9466666666666664E-2</v>
      </c>
      <c r="K7" s="102">
        <f t="shared" si="3"/>
        <v>3.4533333333333333E-2</v>
      </c>
      <c r="L7" s="155">
        <f t="shared" si="4"/>
        <v>3.4166666666666665E-2</v>
      </c>
      <c r="M7" s="142">
        <f t="shared" si="5"/>
        <v>-3.0674846625766687E-2</v>
      </c>
      <c r="N7" s="132">
        <f t="shared" si="6"/>
        <v>3.3800000000000011E-2</v>
      </c>
      <c r="O7" s="8">
        <v>9.8199999999999996E-2</v>
      </c>
      <c r="P7" s="155">
        <v>0.1074</v>
      </c>
      <c r="Q7" s="18">
        <v>0.1074</v>
      </c>
      <c r="R7" s="20">
        <v>0.1168</v>
      </c>
      <c r="S7" s="156">
        <v>0.10780000000000001</v>
      </c>
      <c r="T7" s="157">
        <v>0.1056</v>
      </c>
      <c r="U7" s="8">
        <v>7.7299999999999994E-2</v>
      </c>
      <c r="V7" s="155">
        <v>9.2799999999999994E-2</v>
      </c>
      <c r="W7" s="156">
        <v>9.9400000000000002E-2</v>
      </c>
      <c r="X7" s="20">
        <v>9.9199999999999997E-2</v>
      </c>
      <c r="Y7" s="156">
        <v>9.2700000000000005E-2</v>
      </c>
      <c r="Z7" s="20">
        <v>8.9599999999999999E-2</v>
      </c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</row>
    <row r="8" spans="1:38" ht="13.5" customHeight="1">
      <c r="A8" s="154" t="s">
        <v>22</v>
      </c>
      <c r="B8" s="8">
        <v>2.7300000000000001E-2</v>
      </c>
      <c r="C8" s="102">
        <v>3.78E-2</v>
      </c>
      <c r="D8" s="9">
        <v>4.5699999999999998E-2</v>
      </c>
      <c r="E8" s="98">
        <v>3.95E-2</v>
      </c>
      <c r="F8" s="155">
        <v>3.44E-2</v>
      </c>
      <c r="G8" s="157">
        <v>3.1600000000000003E-2</v>
      </c>
      <c r="H8" s="102">
        <f t="shared" si="0"/>
        <v>4.5650000000000003E-2</v>
      </c>
      <c r="I8" s="102">
        <f t="shared" si="1"/>
        <v>4.2399999999999993E-2</v>
      </c>
      <c r="J8" s="102">
        <f t="shared" si="2"/>
        <v>3.9466666666666664E-2</v>
      </c>
      <c r="K8" s="102">
        <f t="shared" si="3"/>
        <v>3.4533333333333333E-2</v>
      </c>
      <c r="L8" s="155">
        <f t="shared" si="4"/>
        <v>3.4166666666666665E-2</v>
      </c>
      <c r="M8" s="142">
        <f t="shared" si="5"/>
        <v>-0.24726477024070018</v>
      </c>
      <c r="N8" s="132">
        <f t="shared" si="6"/>
        <v>3.6940000000000008E-2</v>
      </c>
      <c r="O8" s="8">
        <v>5.5500000000000001E-2</v>
      </c>
      <c r="P8" s="155">
        <v>6.8000000000000005E-2</v>
      </c>
      <c r="Q8" s="18">
        <v>0.08</v>
      </c>
      <c r="R8" s="20">
        <v>7.7200000000000005E-2</v>
      </c>
      <c r="S8" s="156">
        <v>7.5800000000000006E-2</v>
      </c>
      <c r="T8" s="157">
        <v>6.9099999999999995E-2</v>
      </c>
      <c r="U8" s="8">
        <v>7.0000000000000007E-2</v>
      </c>
      <c r="V8" s="155">
        <v>7.3400000000000007E-2</v>
      </c>
      <c r="W8" s="156">
        <v>7.7700000000000005E-2</v>
      </c>
      <c r="X8" s="20">
        <v>6.9199999999999998E-2</v>
      </c>
      <c r="Y8" s="156">
        <v>6.5600000000000006E-2</v>
      </c>
      <c r="Z8" s="20">
        <v>5.7599999999999998E-2</v>
      </c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</row>
    <row r="9" spans="1:38" ht="13.5" customHeight="1">
      <c r="A9" s="158" t="s">
        <v>23</v>
      </c>
      <c r="B9" s="29">
        <v>2.86E-2</v>
      </c>
      <c r="C9" s="159">
        <v>3.8300000000000001E-2</v>
      </c>
      <c r="D9" s="30">
        <v>3.3399999999999999E-2</v>
      </c>
      <c r="E9" s="99">
        <v>2.6800000000000001E-2</v>
      </c>
      <c r="F9" s="155">
        <v>2.46E-2</v>
      </c>
      <c r="G9" s="157">
        <v>2.4899999999999999E-2</v>
      </c>
      <c r="H9" s="102">
        <f t="shared" si="0"/>
        <v>4.5650000000000003E-2</v>
      </c>
      <c r="I9" s="102">
        <f t="shared" si="1"/>
        <v>4.2399999999999993E-2</v>
      </c>
      <c r="J9" s="102">
        <f t="shared" si="2"/>
        <v>3.9466666666666664E-2</v>
      </c>
      <c r="K9" s="102">
        <f t="shared" si="3"/>
        <v>3.4533333333333333E-2</v>
      </c>
      <c r="L9" s="155">
        <f t="shared" si="4"/>
        <v>3.4166666666666665E-2</v>
      </c>
      <c r="M9" s="142">
        <f t="shared" si="5"/>
        <v>-0.26347305389221554</v>
      </c>
      <c r="N9" s="132">
        <f t="shared" si="6"/>
        <v>3.0339999999999999E-2</v>
      </c>
      <c r="O9" s="29">
        <v>5.9200000000000003E-2</v>
      </c>
      <c r="P9" s="160">
        <v>7.1800000000000003E-2</v>
      </c>
      <c r="Q9" s="31">
        <v>7.4300000000000005E-2</v>
      </c>
      <c r="R9" s="34">
        <v>7.0599999999999996E-2</v>
      </c>
      <c r="S9" s="32">
        <v>6.6299999999999998E-2</v>
      </c>
      <c r="T9" s="161">
        <v>6.6199999999999995E-2</v>
      </c>
      <c r="U9" s="29">
        <v>4.7800000000000002E-2</v>
      </c>
      <c r="V9" s="160">
        <v>6.3500000000000001E-2</v>
      </c>
      <c r="W9" s="32">
        <v>5.2200000000000003E-2</v>
      </c>
      <c r="X9" s="34">
        <v>4.58E-2</v>
      </c>
      <c r="Y9" s="32">
        <v>4.1799999999999997E-2</v>
      </c>
      <c r="Z9" s="34">
        <v>4.3299999999999998E-2</v>
      </c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</row>
    <row r="10" spans="1:38" ht="13.5" customHeight="1">
      <c r="A10" s="19" t="s">
        <v>39</v>
      </c>
      <c r="B10" s="135">
        <f t="shared" ref="B10:G10" si="7">AVERAGE(B4:B9)</f>
        <v>3.3649999999999992E-2</v>
      </c>
      <c r="C10" s="135">
        <f t="shared" si="7"/>
        <v>4.5650000000000003E-2</v>
      </c>
      <c r="D10" s="135">
        <f t="shared" si="7"/>
        <v>4.2399999999999993E-2</v>
      </c>
      <c r="E10" s="135">
        <f t="shared" si="7"/>
        <v>3.9466666666666664E-2</v>
      </c>
      <c r="F10" s="162">
        <f t="shared" si="7"/>
        <v>3.4533333333333333E-2</v>
      </c>
      <c r="G10" s="162">
        <f t="shared" si="7"/>
        <v>3.4166666666666665E-2</v>
      </c>
      <c r="H10" s="162"/>
      <c r="I10" s="162"/>
      <c r="J10" s="162"/>
      <c r="K10" s="162"/>
      <c r="L10" s="162"/>
      <c r="M10" s="162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</row>
    <row r="11" spans="1:38" ht="13.5" customHeight="1">
      <c r="A11" s="181"/>
      <c r="B11" s="181"/>
      <c r="C11" s="181"/>
      <c r="D11" s="181"/>
      <c r="E11" s="36"/>
      <c r="F11" s="36"/>
      <c r="G11" s="36"/>
      <c r="H11" s="36"/>
      <c r="I11" s="36"/>
      <c r="J11" s="36"/>
      <c r="K11" s="36"/>
      <c r="L11" s="36"/>
      <c r="M11" s="36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</row>
    <row r="12" spans="1:38" ht="13.5" customHeight="1">
      <c r="A12" s="218" t="s">
        <v>56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</row>
    <row r="13" spans="1:38" ht="13.5" customHeight="1">
      <c r="A13" s="184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</row>
    <row r="14" spans="1:38" ht="13.5" customHeight="1">
      <c r="A14" s="184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</row>
    <row r="15" spans="1:38" ht="13.5" customHeight="1">
      <c r="A15" s="184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</row>
    <row r="16" spans="1:38" ht="13.5" customHeight="1">
      <c r="A16" s="184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</row>
    <row r="17" spans="1:1" ht="13.5" customHeight="1">
      <c r="A17" s="184"/>
    </row>
    <row r="18" spans="1:1" ht="13.5" customHeight="1">
      <c r="A18" s="184"/>
    </row>
    <row r="19" spans="1:1" ht="13.5" customHeight="1">
      <c r="A19" s="184"/>
    </row>
    <row r="20" spans="1:1" ht="13.5" customHeight="1">
      <c r="A20" s="184"/>
    </row>
    <row r="21" spans="1:1" ht="13.5" customHeight="1">
      <c r="A21" s="184"/>
    </row>
    <row r="22" spans="1:1" ht="13.5" customHeight="1">
      <c r="A22" s="184"/>
    </row>
    <row r="23" spans="1:1" ht="13.5" customHeight="1">
      <c r="A23" s="184"/>
    </row>
    <row r="24" spans="1:1" ht="13.5" customHeight="1">
      <c r="A24" s="184"/>
    </row>
    <row r="25" spans="1:1" ht="13.5" customHeight="1">
      <c r="A25" s="184"/>
    </row>
    <row r="26" spans="1:1" ht="13.5" customHeight="1">
      <c r="A26" s="184"/>
    </row>
    <row r="27" spans="1:1" ht="13.5" customHeight="1">
      <c r="A27" s="185"/>
    </row>
    <row r="28" spans="1:1" ht="13.5" customHeight="1">
      <c r="A28" s="181"/>
    </row>
    <row r="29" spans="1:1" ht="13.5" customHeight="1">
      <c r="A29" s="181"/>
    </row>
    <row r="30" spans="1:1" ht="13.5" customHeight="1">
      <c r="A30" s="181"/>
    </row>
    <row r="31" spans="1:1" ht="13.5" customHeight="1">
      <c r="A31" s="181"/>
    </row>
    <row r="32" spans="1:1" ht="13.5" customHeight="1">
      <c r="A32" s="18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U2:Z2"/>
    <mergeCell ref="A12:A27"/>
    <mergeCell ref="A2:A3"/>
    <mergeCell ref="B2:M2"/>
    <mergeCell ref="N2:N3"/>
    <mergeCell ref="O2:T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showGridLines="0" workbookViewId="0">
      <pane xSplit="1" topLeftCell="B1" activePane="topRight" state="frozen"/>
      <selection pane="topRight" activeCell="L34" sqref="L34"/>
    </sheetView>
  </sheetViews>
  <sheetFormatPr defaultColWidth="14.42578125" defaultRowHeight="15" customHeight="1"/>
  <cols>
    <col min="1" max="1" width="25.85546875" customWidth="1"/>
    <col min="2" max="4" width="10.7109375" customWidth="1"/>
    <col min="5" max="5" width="13.7109375" customWidth="1"/>
    <col min="6" max="6" width="12.7109375" customWidth="1"/>
    <col min="7" max="7" width="13.7109375" customWidth="1"/>
    <col min="8" max="8" width="15.140625" customWidth="1"/>
    <col min="9" max="9" width="14" customWidth="1"/>
    <col min="10" max="11" width="16" customWidth="1"/>
    <col min="12" max="12" width="15" customWidth="1"/>
    <col min="13" max="21" width="10.7109375" customWidth="1"/>
    <col min="22" max="24" width="13.7109375" customWidth="1"/>
    <col min="25" max="25" width="15.28515625" customWidth="1"/>
    <col min="26" max="26" width="16.28515625" customWidth="1"/>
    <col min="27" max="35" width="10.7109375" customWidth="1"/>
  </cols>
  <sheetData>
    <row r="1" spans="1:36" ht="13.5" customHeight="1">
      <c r="A1" s="1" t="s">
        <v>26</v>
      </c>
      <c r="B1" s="1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</row>
    <row r="2" spans="1:36" ht="18" customHeight="1">
      <c r="A2" s="219" t="s">
        <v>13</v>
      </c>
      <c r="B2" s="219" t="s">
        <v>57</v>
      </c>
      <c r="C2" s="208"/>
      <c r="D2" s="208"/>
      <c r="E2" s="208"/>
      <c r="F2" s="208"/>
      <c r="G2" s="208"/>
      <c r="H2" s="208"/>
      <c r="I2" s="208"/>
      <c r="J2" s="208"/>
      <c r="K2" s="208"/>
      <c r="L2" s="216"/>
      <c r="M2" s="205" t="s">
        <v>44</v>
      </c>
      <c r="N2" s="210" t="s">
        <v>30</v>
      </c>
      <c r="O2" s="214" t="s">
        <v>58</v>
      </c>
      <c r="P2" s="219" t="s">
        <v>59</v>
      </c>
      <c r="Q2" s="208"/>
      <c r="R2" s="208"/>
      <c r="S2" s="208"/>
      <c r="T2" s="208"/>
      <c r="U2" s="208"/>
      <c r="V2" s="208"/>
      <c r="W2" s="208"/>
      <c r="X2" s="208"/>
      <c r="Y2" s="208"/>
      <c r="Z2" s="216"/>
      <c r="AA2" s="205" t="s">
        <v>42</v>
      </c>
      <c r="AB2" s="210" t="s">
        <v>30</v>
      </c>
      <c r="AC2" s="214" t="s">
        <v>58</v>
      </c>
      <c r="AD2" s="181"/>
      <c r="AE2" s="181"/>
      <c r="AF2" s="181"/>
      <c r="AG2" s="181"/>
      <c r="AH2" s="181"/>
      <c r="AI2" s="181"/>
      <c r="AJ2" s="181"/>
    </row>
    <row r="3" spans="1:36" ht="13.5" customHeight="1">
      <c r="A3" s="215"/>
      <c r="B3" s="163">
        <v>2022</v>
      </c>
      <c r="C3" s="164">
        <v>2023</v>
      </c>
      <c r="D3" s="164">
        <v>2024</v>
      </c>
      <c r="E3" s="165">
        <v>45809</v>
      </c>
      <c r="F3" s="166">
        <v>45992</v>
      </c>
      <c r="G3" s="166">
        <v>46174</v>
      </c>
      <c r="H3" s="152" t="s">
        <v>50</v>
      </c>
      <c r="I3" s="152" t="s">
        <v>51</v>
      </c>
      <c r="J3" s="152" t="s">
        <v>52</v>
      </c>
      <c r="K3" s="152" t="s">
        <v>53</v>
      </c>
      <c r="L3" s="152" t="s">
        <v>54</v>
      </c>
      <c r="M3" s="206"/>
      <c r="N3" s="211"/>
      <c r="O3" s="206"/>
      <c r="P3" s="163">
        <v>2022</v>
      </c>
      <c r="Q3" s="164">
        <v>2023</v>
      </c>
      <c r="R3" s="167">
        <v>2024</v>
      </c>
      <c r="S3" s="39">
        <v>45809</v>
      </c>
      <c r="T3" s="168">
        <v>45992</v>
      </c>
      <c r="U3" s="168">
        <v>46174</v>
      </c>
      <c r="V3" s="152" t="s">
        <v>50</v>
      </c>
      <c r="W3" s="152" t="s">
        <v>51</v>
      </c>
      <c r="X3" s="152" t="s">
        <v>52</v>
      </c>
      <c r="Y3" s="152" t="s">
        <v>53</v>
      </c>
      <c r="Z3" s="152" t="s">
        <v>54</v>
      </c>
      <c r="AA3" s="206"/>
      <c r="AB3" s="211"/>
      <c r="AC3" s="206"/>
      <c r="AD3" s="181"/>
      <c r="AE3" s="181"/>
      <c r="AF3" s="181"/>
      <c r="AG3" s="181"/>
      <c r="AH3" s="181"/>
      <c r="AI3" s="181"/>
      <c r="AJ3" s="181"/>
    </row>
    <row r="4" spans="1:36" ht="13.5" customHeight="1">
      <c r="A4" s="154" t="s">
        <v>16</v>
      </c>
      <c r="B4" s="169">
        <v>1.7111000000000001</v>
      </c>
      <c r="C4" s="169">
        <v>2.222</v>
      </c>
      <c r="D4" s="169">
        <v>1.9634</v>
      </c>
      <c r="E4" s="170">
        <v>1.6629</v>
      </c>
      <c r="F4" s="170">
        <v>1.7576000000000001</v>
      </c>
      <c r="G4" s="169">
        <v>1.6407</v>
      </c>
      <c r="H4" s="169">
        <f t="shared" ref="H4:H9" si="0">$C$10</f>
        <v>1.74075</v>
      </c>
      <c r="I4" s="169">
        <f t="shared" ref="I4:I9" si="1">$D$10</f>
        <v>1.6624166666666664</v>
      </c>
      <c r="J4" s="169">
        <f t="shared" ref="J4:J9" si="2">$E$10</f>
        <v>1.6444333333333336</v>
      </c>
      <c r="K4" s="169">
        <f>$F$10</f>
        <v>1.5842999999999998</v>
      </c>
      <c r="L4" s="169">
        <f t="shared" ref="L4:L9" si="3">$G$10</f>
        <v>1.5353833333333335</v>
      </c>
      <c r="M4" s="169" t="e">
        <f>(#REF!-D4)/D4</f>
        <v>#REF!</v>
      </c>
      <c r="N4" s="132">
        <f>AVERAGE(B4:F4)</f>
        <v>1.8633999999999999</v>
      </c>
      <c r="O4" s="143">
        <v>1</v>
      </c>
      <c r="P4" s="169">
        <v>1.0831</v>
      </c>
      <c r="Q4" s="169">
        <v>1.2132000000000001</v>
      </c>
      <c r="R4" s="169">
        <v>1.222</v>
      </c>
      <c r="S4" s="170">
        <v>1.2349000000000001</v>
      </c>
      <c r="T4" s="169">
        <v>1.2172000000000001</v>
      </c>
      <c r="U4" s="169">
        <v>1.2090000000000001</v>
      </c>
      <c r="V4" s="169">
        <f t="shared" ref="V4:V9" si="4">$Q$10</f>
        <v>1.1378333333333333</v>
      </c>
      <c r="W4" s="169">
        <f t="shared" ref="W4:W9" si="5">$R$10</f>
        <v>1.1292666666666669</v>
      </c>
      <c r="X4" s="169">
        <f t="shared" ref="X4:X9" si="6">$S$10</f>
        <v>1.1460000000000001</v>
      </c>
      <c r="Y4" s="169">
        <f t="shared" ref="Y4:Y9" si="7">$T$10</f>
        <v>1.13035</v>
      </c>
      <c r="Z4" s="169">
        <f t="shared" ref="Z4:Z9" si="8">$U$10</f>
        <v>1.1470166666666668</v>
      </c>
      <c r="AA4" s="169">
        <f t="shared" ref="AA4:AA10" si="9">(T4-R4)/R4</f>
        <v>-3.9279869067102421E-3</v>
      </c>
      <c r="AB4" s="169">
        <f t="shared" ref="AB4:AB9" si="10">AVERAGE(P4:T4)</f>
        <v>1.19408</v>
      </c>
      <c r="AC4" s="169">
        <v>1</v>
      </c>
      <c r="AD4" s="181"/>
      <c r="AE4" s="181"/>
      <c r="AF4" s="181"/>
      <c r="AG4" s="181"/>
      <c r="AH4" s="181"/>
      <c r="AI4" s="181"/>
      <c r="AJ4" s="181"/>
    </row>
    <row r="5" spans="1:36" ht="13.5" customHeight="1">
      <c r="A5" s="154" t="s">
        <v>18</v>
      </c>
      <c r="B5" s="40">
        <v>1.5285</v>
      </c>
      <c r="C5" s="171">
        <v>1.8756999999999999</v>
      </c>
      <c r="D5" s="169">
        <v>1.9249000000000001</v>
      </c>
      <c r="E5" s="170">
        <v>2.0013000000000001</v>
      </c>
      <c r="F5" s="170">
        <v>1.7282999999999999</v>
      </c>
      <c r="G5" s="169">
        <v>1.5007999999999999</v>
      </c>
      <c r="H5" s="169">
        <f t="shared" si="0"/>
        <v>1.74075</v>
      </c>
      <c r="I5" s="169">
        <f t="shared" si="1"/>
        <v>1.6624166666666664</v>
      </c>
      <c r="J5" s="169">
        <f t="shared" si="2"/>
        <v>1.6444333333333336</v>
      </c>
      <c r="K5" s="169">
        <f t="shared" ref="K5:K9" si="11">$F$10</f>
        <v>1.5842999999999998</v>
      </c>
      <c r="L5" s="169">
        <f t="shared" si="3"/>
        <v>1.5353833333333335</v>
      </c>
      <c r="M5" s="169" t="e">
        <f>(#REF!-D5)/D5</f>
        <v>#REF!</v>
      </c>
      <c r="N5" s="132">
        <f>AVERAGE(B5:F5)</f>
        <v>1.8117400000000004</v>
      </c>
      <c r="O5" s="143">
        <v>1</v>
      </c>
      <c r="P5" s="169">
        <v>1.0795999999999999</v>
      </c>
      <c r="Q5" s="169">
        <v>1.1045</v>
      </c>
      <c r="R5" s="169">
        <v>1.0984</v>
      </c>
      <c r="S5" s="170">
        <v>1.1137999999999999</v>
      </c>
      <c r="T5" s="169">
        <v>1.1087</v>
      </c>
      <c r="U5" s="169">
        <v>1.127</v>
      </c>
      <c r="V5" s="169">
        <f t="shared" si="4"/>
        <v>1.1378333333333333</v>
      </c>
      <c r="W5" s="169">
        <f t="shared" si="5"/>
        <v>1.1292666666666669</v>
      </c>
      <c r="X5" s="169">
        <f t="shared" si="6"/>
        <v>1.1460000000000001</v>
      </c>
      <c r="Y5" s="169">
        <f t="shared" si="7"/>
        <v>1.13035</v>
      </c>
      <c r="Z5" s="169">
        <f t="shared" si="8"/>
        <v>1.1470166666666668</v>
      </c>
      <c r="AA5" s="169">
        <f t="shared" si="9"/>
        <v>9.3772760378732483E-3</v>
      </c>
      <c r="AB5" s="169">
        <f t="shared" si="10"/>
        <v>1.101</v>
      </c>
      <c r="AC5" s="169">
        <v>1</v>
      </c>
      <c r="AD5" s="181"/>
      <c r="AE5" s="181"/>
      <c r="AF5" s="181"/>
      <c r="AG5" s="181"/>
      <c r="AH5" s="181"/>
      <c r="AI5" s="181"/>
      <c r="AJ5" s="181"/>
    </row>
    <row r="6" spans="1:36" ht="13.5" customHeight="1">
      <c r="A6" s="154" t="s">
        <v>17</v>
      </c>
      <c r="B6" s="41">
        <v>1.7439</v>
      </c>
      <c r="C6" s="169">
        <v>1.3552999999999999</v>
      </c>
      <c r="D6" s="169">
        <v>1.3252999999999999</v>
      </c>
      <c r="E6" s="170">
        <v>1.3090999999999999</v>
      </c>
      <c r="F6" s="170">
        <v>1.5908</v>
      </c>
      <c r="G6" s="170">
        <v>1.2556</v>
      </c>
      <c r="H6" s="169">
        <f t="shared" si="0"/>
        <v>1.74075</v>
      </c>
      <c r="I6" s="169">
        <f t="shared" si="1"/>
        <v>1.6624166666666664</v>
      </c>
      <c r="J6" s="169">
        <f t="shared" si="2"/>
        <v>1.6444333333333336</v>
      </c>
      <c r="K6" s="169">
        <f t="shared" si="11"/>
        <v>1.5842999999999998</v>
      </c>
      <c r="L6" s="169">
        <f t="shared" si="3"/>
        <v>1.5353833333333335</v>
      </c>
      <c r="M6" s="169" t="e">
        <f>(#REF!-D6)/D6</f>
        <v>#REF!</v>
      </c>
      <c r="N6" s="132">
        <f>AVERAGE(B6:F6)</f>
        <v>1.46488</v>
      </c>
      <c r="O6" s="143">
        <v>1</v>
      </c>
      <c r="P6" s="169">
        <v>1.0624</v>
      </c>
      <c r="Q6" s="169">
        <v>1.0862000000000001</v>
      </c>
      <c r="R6" s="169">
        <v>1.0704</v>
      </c>
      <c r="S6" s="170">
        <v>1.1059000000000001</v>
      </c>
      <c r="T6" s="169">
        <v>1.0952</v>
      </c>
      <c r="U6" s="170">
        <v>1.0465</v>
      </c>
      <c r="V6" s="169">
        <f t="shared" si="4"/>
        <v>1.1378333333333333</v>
      </c>
      <c r="W6" s="169">
        <f t="shared" si="5"/>
        <v>1.1292666666666669</v>
      </c>
      <c r="X6" s="169">
        <f t="shared" si="6"/>
        <v>1.1460000000000001</v>
      </c>
      <c r="Y6" s="169">
        <f t="shared" si="7"/>
        <v>1.13035</v>
      </c>
      <c r="Z6" s="169">
        <f t="shared" si="8"/>
        <v>1.1470166666666668</v>
      </c>
      <c r="AA6" s="169">
        <f t="shared" si="9"/>
        <v>2.3168908819132972E-2</v>
      </c>
      <c r="AB6" s="169">
        <f t="shared" si="10"/>
        <v>1.0840200000000002</v>
      </c>
      <c r="AC6" s="169">
        <v>1</v>
      </c>
      <c r="AD6" s="181"/>
      <c r="AE6" s="181"/>
      <c r="AF6" s="181"/>
      <c r="AG6" s="181"/>
      <c r="AH6" s="181"/>
      <c r="AI6" s="181"/>
      <c r="AJ6" s="181"/>
    </row>
    <row r="7" spans="1:36" ht="13.5" customHeight="1">
      <c r="A7" s="154" t="s">
        <v>19</v>
      </c>
      <c r="B7" s="40">
        <v>1.3631</v>
      </c>
      <c r="C7" s="171">
        <v>1.3452999999999999</v>
      </c>
      <c r="D7" s="169">
        <v>1.3927</v>
      </c>
      <c r="E7" s="170">
        <v>1.407</v>
      </c>
      <c r="F7" s="170">
        <v>1.4415</v>
      </c>
      <c r="G7" s="170">
        <v>1.3143</v>
      </c>
      <c r="H7" s="169">
        <f t="shared" si="0"/>
        <v>1.74075</v>
      </c>
      <c r="I7" s="169">
        <f t="shared" si="1"/>
        <v>1.6624166666666664</v>
      </c>
      <c r="J7" s="169">
        <f t="shared" si="2"/>
        <v>1.6444333333333336</v>
      </c>
      <c r="K7" s="169">
        <f t="shared" si="11"/>
        <v>1.5842999999999998</v>
      </c>
      <c r="L7" s="169">
        <f t="shared" si="3"/>
        <v>1.5353833333333335</v>
      </c>
      <c r="M7" s="169" t="e">
        <f>(#REF!-D7)/D7</f>
        <v>#REF!</v>
      </c>
      <c r="N7" s="132">
        <f>AVERAGE(B7:F7)</f>
        <v>1.38992</v>
      </c>
      <c r="O7" s="143">
        <v>1</v>
      </c>
      <c r="P7" s="169">
        <v>1.0854999999999999</v>
      </c>
      <c r="Q7" s="169">
        <v>1.0874999999999999</v>
      </c>
      <c r="R7" s="169">
        <v>1.0562</v>
      </c>
      <c r="S7" s="170">
        <v>1.0516000000000001</v>
      </c>
      <c r="T7" s="169">
        <v>1.0792999999999999</v>
      </c>
      <c r="U7" s="170">
        <v>1.0810999999999999</v>
      </c>
      <c r="V7" s="169">
        <f t="shared" si="4"/>
        <v>1.1378333333333333</v>
      </c>
      <c r="W7" s="169">
        <f t="shared" si="5"/>
        <v>1.1292666666666669</v>
      </c>
      <c r="X7" s="169">
        <f t="shared" si="6"/>
        <v>1.1460000000000001</v>
      </c>
      <c r="Y7" s="169">
        <f t="shared" si="7"/>
        <v>1.13035</v>
      </c>
      <c r="Z7" s="169">
        <f t="shared" si="8"/>
        <v>1.1470166666666668</v>
      </c>
      <c r="AA7" s="169">
        <f t="shared" si="9"/>
        <v>2.1870857792084735E-2</v>
      </c>
      <c r="AB7" s="169">
        <f t="shared" si="10"/>
        <v>1.07202</v>
      </c>
      <c r="AC7" s="169">
        <v>1</v>
      </c>
      <c r="AD7" s="181"/>
      <c r="AE7" s="181"/>
      <c r="AF7" s="181"/>
      <c r="AG7" s="181"/>
      <c r="AH7" s="181"/>
      <c r="AI7" s="181"/>
      <c r="AJ7" s="181"/>
    </row>
    <row r="8" spans="1:36" ht="13.5" customHeight="1">
      <c r="A8" s="154" t="s">
        <v>22</v>
      </c>
      <c r="B8" s="40">
        <v>1.6967000000000001</v>
      </c>
      <c r="C8" s="171">
        <v>2.0958999999999999</v>
      </c>
      <c r="D8" s="169">
        <v>1.7673000000000001</v>
      </c>
      <c r="E8" s="170">
        <v>1.8754</v>
      </c>
      <c r="F8" s="170">
        <v>1.5582</v>
      </c>
      <c r="G8" s="170">
        <v>1.7918000000000001</v>
      </c>
      <c r="H8" s="169">
        <f t="shared" si="0"/>
        <v>1.74075</v>
      </c>
      <c r="I8" s="169">
        <f t="shared" si="1"/>
        <v>1.6624166666666664</v>
      </c>
      <c r="J8" s="169">
        <f t="shared" si="2"/>
        <v>1.6444333333333336</v>
      </c>
      <c r="K8" s="169">
        <f t="shared" si="11"/>
        <v>1.5842999999999998</v>
      </c>
      <c r="L8" s="169">
        <f t="shared" si="3"/>
        <v>1.5353833333333335</v>
      </c>
      <c r="M8" s="169" t="e">
        <f>(#REF!-D8)/D8</f>
        <v>#REF!</v>
      </c>
      <c r="N8" s="132">
        <f>AVERAGE(B8:F8)</f>
        <v>1.7987000000000002</v>
      </c>
      <c r="O8" s="143">
        <v>1</v>
      </c>
      <c r="P8" s="169">
        <v>1.2000999999999999</v>
      </c>
      <c r="Q8" s="169">
        <v>1.2096</v>
      </c>
      <c r="R8" s="169">
        <v>1.2036</v>
      </c>
      <c r="S8" s="170">
        <v>1.2193000000000001</v>
      </c>
      <c r="T8" s="169">
        <v>1.1507000000000001</v>
      </c>
      <c r="U8" s="170">
        <v>1.1973</v>
      </c>
      <c r="V8" s="169">
        <f t="shared" si="4"/>
        <v>1.1378333333333333</v>
      </c>
      <c r="W8" s="169">
        <f t="shared" si="5"/>
        <v>1.1292666666666669</v>
      </c>
      <c r="X8" s="169">
        <f t="shared" si="6"/>
        <v>1.1460000000000001</v>
      </c>
      <c r="Y8" s="169">
        <f t="shared" si="7"/>
        <v>1.13035</v>
      </c>
      <c r="Z8" s="169">
        <f t="shared" si="8"/>
        <v>1.1470166666666668</v>
      </c>
      <c r="AA8" s="169">
        <f t="shared" si="9"/>
        <v>-4.3951478896643359E-2</v>
      </c>
      <c r="AB8" s="169">
        <f t="shared" si="10"/>
        <v>1.1966600000000001</v>
      </c>
      <c r="AC8" s="169">
        <v>1</v>
      </c>
      <c r="AD8" s="181"/>
      <c r="AE8" s="181"/>
      <c r="AF8" s="181"/>
      <c r="AG8" s="181"/>
      <c r="AH8" s="181"/>
      <c r="AI8" s="181"/>
      <c r="AJ8" s="181"/>
    </row>
    <row r="9" spans="1:36" ht="13.5" customHeight="1">
      <c r="A9" s="158" t="s">
        <v>23</v>
      </c>
      <c r="B9" s="40">
        <v>1.7117</v>
      </c>
      <c r="C9" s="171">
        <v>1.5503</v>
      </c>
      <c r="D9" s="169">
        <v>1.6009</v>
      </c>
      <c r="E9" s="170">
        <v>1.6109</v>
      </c>
      <c r="F9" s="170">
        <v>1.4294</v>
      </c>
      <c r="G9" s="170">
        <v>1.7091000000000001</v>
      </c>
      <c r="H9" s="169">
        <f t="shared" si="0"/>
        <v>1.74075</v>
      </c>
      <c r="I9" s="169">
        <f t="shared" si="1"/>
        <v>1.6624166666666664</v>
      </c>
      <c r="J9" s="169">
        <f t="shared" si="2"/>
        <v>1.6444333333333336</v>
      </c>
      <c r="K9" s="169">
        <f t="shared" si="11"/>
        <v>1.5842999999999998</v>
      </c>
      <c r="L9" s="169">
        <f t="shared" si="3"/>
        <v>1.5353833333333335</v>
      </c>
      <c r="M9" s="169" t="e">
        <f>(#REF!-D9)/D9</f>
        <v>#REF!</v>
      </c>
      <c r="N9" s="132">
        <f>AVERAGE(B9:F9)</f>
        <v>1.58064</v>
      </c>
      <c r="O9" s="143">
        <v>1</v>
      </c>
      <c r="P9" s="169">
        <v>1.0232000000000001</v>
      </c>
      <c r="Q9" s="169">
        <v>1.1259999999999999</v>
      </c>
      <c r="R9" s="169">
        <v>1.125</v>
      </c>
      <c r="S9" s="170">
        <v>1.1505000000000001</v>
      </c>
      <c r="T9" s="169">
        <v>1.131</v>
      </c>
      <c r="U9" s="170">
        <v>1.2212000000000001</v>
      </c>
      <c r="V9" s="169">
        <f t="shared" si="4"/>
        <v>1.1378333333333333</v>
      </c>
      <c r="W9" s="169">
        <f t="shared" si="5"/>
        <v>1.1292666666666669</v>
      </c>
      <c r="X9" s="169">
        <f t="shared" si="6"/>
        <v>1.1460000000000001</v>
      </c>
      <c r="Y9" s="169">
        <f t="shared" si="7"/>
        <v>1.13035</v>
      </c>
      <c r="Z9" s="169">
        <f t="shared" si="8"/>
        <v>1.1470166666666668</v>
      </c>
      <c r="AA9" s="169">
        <f t="shared" si="9"/>
        <v>5.3333333333333384E-3</v>
      </c>
      <c r="AB9" s="169">
        <f t="shared" si="10"/>
        <v>1.11114</v>
      </c>
      <c r="AC9" s="169">
        <v>1</v>
      </c>
      <c r="AD9" s="181"/>
      <c r="AE9" s="181"/>
      <c r="AF9" s="181"/>
      <c r="AG9" s="181"/>
      <c r="AH9" s="181"/>
      <c r="AI9" s="181"/>
      <c r="AJ9" s="181"/>
    </row>
    <row r="10" spans="1:36" ht="15.75" customHeight="1">
      <c r="A10" s="19" t="s">
        <v>39</v>
      </c>
      <c r="B10" s="42">
        <f t="shared" ref="B10:F10" si="12">AVERAGE(B4:B9)</f>
        <v>1.6258333333333335</v>
      </c>
      <c r="C10" s="135">
        <f t="shared" si="12"/>
        <v>1.74075</v>
      </c>
      <c r="D10" s="43">
        <f t="shared" si="12"/>
        <v>1.6624166666666664</v>
      </c>
      <c r="E10" s="43">
        <f t="shared" si="12"/>
        <v>1.6444333333333336</v>
      </c>
      <c r="F10" s="43">
        <f t="shared" si="12"/>
        <v>1.5842999999999998</v>
      </c>
      <c r="G10" s="135">
        <f t="shared" ref="G10" si="13">AVERAGE(G4:G9)</f>
        <v>1.5353833333333335</v>
      </c>
      <c r="H10" s="172"/>
      <c r="I10" s="147"/>
      <c r="J10" s="147"/>
      <c r="K10" s="147"/>
      <c r="L10" s="147"/>
      <c r="M10" s="147" t="e">
        <f>(#REF!-D10)/D10</f>
        <v>#REF!</v>
      </c>
      <c r="N10" s="44"/>
      <c r="O10" s="173"/>
      <c r="P10" s="42">
        <f t="shared" ref="P10:U10" si="14">AVERAGE(P4:P9)</f>
        <v>1.0889833333333334</v>
      </c>
      <c r="Q10" s="135">
        <f t="shared" si="14"/>
        <v>1.1378333333333333</v>
      </c>
      <c r="R10" s="135">
        <f t="shared" si="14"/>
        <v>1.1292666666666669</v>
      </c>
      <c r="S10" s="135">
        <f t="shared" si="14"/>
        <v>1.1460000000000001</v>
      </c>
      <c r="T10" s="135">
        <f t="shared" si="14"/>
        <v>1.13035</v>
      </c>
      <c r="U10" s="135">
        <f t="shared" si="14"/>
        <v>1.1470166666666668</v>
      </c>
      <c r="V10" s="45"/>
      <c r="W10" s="46"/>
      <c r="X10" s="46"/>
      <c r="Y10" s="46"/>
      <c r="Z10" s="46"/>
      <c r="AA10" s="46">
        <f t="shared" si="9"/>
        <v>9.5932463545643444E-4</v>
      </c>
      <c r="AB10" s="44"/>
      <c r="AC10" s="47"/>
      <c r="AD10" s="181"/>
      <c r="AE10" s="181"/>
      <c r="AF10" s="1"/>
      <c r="AG10" s="1"/>
      <c r="AH10" s="1"/>
      <c r="AI10" s="1"/>
      <c r="AJ10" s="181"/>
    </row>
    <row r="11" spans="1:36" ht="13.5" customHeight="1">
      <c r="A11" s="181"/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</row>
    <row r="12" spans="1:36" ht="13.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</row>
    <row r="13" spans="1:36" ht="13.5" customHeight="1">
      <c r="A13" s="225" t="s">
        <v>60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</row>
    <row r="14" spans="1:36" ht="13.5" customHeight="1">
      <c r="A14" s="184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</row>
    <row r="15" spans="1:36" ht="13.5" customHeight="1">
      <c r="A15" s="184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</row>
    <row r="16" spans="1:36" ht="13.5" customHeight="1">
      <c r="A16" s="184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</row>
    <row r="17" spans="1:36" ht="13.5" customHeight="1">
      <c r="A17" s="184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</row>
    <row r="18" spans="1:36" ht="13.5" customHeight="1">
      <c r="A18" s="184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</row>
    <row r="19" spans="1:36" ht="13.5" customHeight="1">
      <c r="A19" s="184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</row>
    <row r="20" spans="1:36" ht="13.5" customHeight="1">
      <c r="A20" s="184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</row>
    <row r="21" spans="1:36" ht="13.5" customHeight="1">
      <c r="A21" s="184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</row>
    <row r="22" spans="1:36" ht="13.5" customHeight="1">
      <c r="A22" s="184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</row>
    <row r="23" spans="1:36" ht="13.5" customHeight="1">
      <c r="A23" s="184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</row>
    <row r="24" spans="1:36" ht="13.5" customHeight="1">
      <c r="A24" s="184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</row>
    <row r="25" spans="1:36" ht="13.5" customHeight="1">
      <c r="A25" s="184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</row>
    <row r="26" spans="1:36" ht="13.5" customHeight="1">
      <c r="A26" s="185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</row>
    <row r="27" spans="1:36" ht="13.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pans="1:36" ht="13.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</row>
    <row r="29" spans="1:36" ht="13.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</row>
    <row r="30" spans="1:36" ht="13.5" customHeight="1">
      <c r="A30" s="225" t="s">
        <v>61</v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pans="1:36" ht="13.5" customHeight="1">
      <c r="A31" s="184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</row>
    <row r="32" spans="1:36" ht="13.5" customHeight="1">
      <c r="A32" s="184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</row>
    <row r="33" spans="1:36" ht="13.5" customHeight="1">
      <c r="A33" s="184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</row>
    <row r="34" spans="1:36" ht="13.5" customHeight="1">
      <c r="A34" s="184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</row>
    <row r="35" spans="1:36" ht="13.5" customHeight="1">
      <c r="A35" s="184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</row>
    <row r="36" spans="1:36" ht="13.5" customHeight="1">
      <c r="A36" s="184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</row>
    <row r="37" spans="1:36" ht="13.5" customHeight="1">
      <c r="A37" s="184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</row>
    <row r="38" spans="1:36" ht="13.5" customHeight="1">
      <c r="A38" s="184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</row>
    <row r="39" spans="1:36" ht="13.5" customHeight="1">
      <c r="A39" s="184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</row>
    <row r="40" spans="1:36" ht="13.5" customHeight="1">
      <c r="A40" s="184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</row>
    <row r="41" spans="1:36" ht="13.5" customHeight="1">
      <c r="A41" s="184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</row>
    <row r="42" spans="1:36" ht="13.5" customHeight="1">
      <c r="A42" s="184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</row>
    <row r="43" spans="1:36" ht="13.5" customHeight="1">
      <c r="A43" s="184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</row>
    <row r="44" spans="1:36" ht="13.5" customHeight="1">
      <c r="A44" s="184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</row>
    <row r="45" spans="1:36" ht="13.5" customHeight="1">
      <c r="A45" s="184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</row>
    <row r="46" spans="1:36" ht="13.5" customHeight="1">
      <c r="A46" s="184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</row>
    <row r="47" spans="1:36" ht="13.5" customHeight="1">
      <c r="A47" s="184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</row>
    <row r="48" spans="1:36" ht="13.5" customHeight="1">
      <c r="A48" s="184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</row>
    <row r="49" spans="1:36" ht="13.5" customHeight="1">
      <c r="A49" s="185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</row>
    <row r="50" spans="1:36" ht="13.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</row>
    <row r="51" spans="1:36" ht="13.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</row>
    <row r="52" spans="1:36" ht="13.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</row>
    <row r="53" spans="1:36" ht="13.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</row>
    <row r="54" spans="1:36" ht="13.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</row>
    <row r="55" spans="1:36" ht="13.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</row>
    <row r="56" spans="1:36" ht="13.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</row>
    <row r="57" spans="1:36" ht="13.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</row>
    <row r="58" spans="1:36" ht="13.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</row>
    <row r="59" spans="1:36" ht="13.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</row>
    <row r="60" spans="1:36" ht="13.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</row>
    <row r="61" spans="1:36" ht="13.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</row>
    <row r="62" spans="1:36" ht="13.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</row>
    <row r="63" spans="1:36" ht="13.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</row>
    <row r="64" spans="1:36" ht="13.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</row>
    <row r="65" spans="7:36" ht="13.5" customHeight="1"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</row>
    <row r="66" spans="7:36" ht="13.5" customHeight="1"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</row>
    <row r="67" spans="7:36" ht="13.5" customHeight="1"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</row>
    <row r="68" spans="7:36" ht="13.5" customHeight="1"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</row>
    <row r="69" spans="7:36" ht="13.5" customHeight="1"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</row>
    <row r="70" spans="7:36" ht="13.5" customHeight="1"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</row>
    <row r="71" spans="7:36" ht="13.5" customHeight="1"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</row>
    <row r="72" spans="7:36" ht="13.5" customHeight="1"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</row>
    <row r="73" spans="7:36" ht="13.5" customHeight="1"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</row>
    <row r="74" spans="7:36" ht="13.5" customHeight="1"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</row>
    <row r="75" spans="7:36" ht="13.5" customHeight="1"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</row>
    <row r="76" spans="7:36" ht="13.5" customHeight="1"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</row>
    <row r="77" spans="7:36" ht="13.5" customHeight="1"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</row>
    <row r="78" spans="7:36" ht="13.5" customHeight="1"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</row>
    <row r="79" spans="7:36" ht="13.5" customHeight="1"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</row>
    <row r="80" spans="7:36" ht="13.5" customHeight="1"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</row>
    <row r="81" spans="7:36" ht="13.5" customHeight="1"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</row>
    <row r="82" spans="7:36" ht="13.5" customHeight="1"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</row>
    <row r="83" spans="7:36" ht="13.5" customHeight="1"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</row>
    <row r="84" spans="7:36" ht="13.5" customHeight="1"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</row>
    <row r="85" spans="7:36" ht="13.5" customHeight="1"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</row>
    <row r="86" spans="7:36" ht="13.5" customHeight="1"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</row>
    <row r="87" spans="7:36" ht="13.5" customHeight="1"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</row>
    <row r="88" spans="7:36" ht="13.5" customHeight="1"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</row>
    <row r="89" spans="7:36" ht="13.5" customHeight="1"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</row>
    <row r="90" spans="7:36" ht="13.5" customHeight="1"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</row>
    <row r="91" spans="7:36" ht="13.5" customHeight="1"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</row>
    <row r="92" spans="7:36" ht="13.5" customHeight="1"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</row>
    <row r="93" spans="7:36" ht="13.5" customHeight="1"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</row>
    <row r="94" spans="7:36" ht="13.5" customHeight="1"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</row>
    <row r="95" spans="7:36" ht="13.5" customHeight="1"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</row>
    <row r="96" spans="7:36" ht="13.5" customHeight="1"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</row>
    <row r="97" spans="7:36" ht="13.5" customHeight="1"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</row>
    <row r="98" spans="7:36" ht="13.5" customHeight="1"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</row>
    <row r="99" spans="7:36" ht="13.5" customHeight="1"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</row>
    <row r="100" spans="7:36" ht="13.5" customHeight="1"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</row>
    <row r="101" spans="7:36" ht="13.5" customHeight="1"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</row>
    <row r="102" spans="7:36" ht="13.5" customHeight="1"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</row>
    <row r="103" spans="7:36" ht="13.5" customHeight="1"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</row>
    <row r="104" spans="7:36" ht="13.5" customHeight="1"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</row>
    <row r="105" spans="7:36" ht="13.5" customHeight="1"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</row>
    <row r="106" spans="7:36" ht="13.5" customHeight="1"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</row>
    <row r="107" spans="7:36" ht="13.5" customHeight="1"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</row>
    <row r="108" spans="7:36" ht="13.5" customHeight="1"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</row>
    <row r="109" spans="7:36" ht="13.5" customHeight="1"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</row>
    <row r="110" spans="7:36" ht="13.5" customHeight="1"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</row>
    <row r="111" spans="7:36" ht="13.5" customHeight="1"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</row>
    <row r="112" spans="7:36" ht="13.5" customHeight="1"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</row>
    <row r="113" spans="7:36" ht="13.5" customHeight="1"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</row>
    <row r="114" spans="7:36" ht="13.5" customHeight="1"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</row>
    <row r="115" spans="7:36" ht="13.5" customHeight="1"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</row>
    <row r="116" spans="7:36" ht="13.5" customHeight="1"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</row>
    <row r="117" spans="7:36" ht="13.5" customHeight="1"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</row>
    <row r="118" spans="7:36" ht="13.5" customHeight="1"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</row>
    <row r="119" spans="7:36" ht="13.5" customHeight="1"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</row>
    <row r="120" spans="7:36" ht="13.5" customHeight="1"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</row>
    <row r="121" spans="7:36" ht="13.5" customHeight="1"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</row>
    <row r="122" spans="7:36" ht="13.5" customHeight="1"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</row>
    <row r="123" spans="7:36" ht="13.5" customHeight="1"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</row>
    <row r="124" spans="7:36" ht="13.5" customHeight="1"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</row>
    <row r="125" spans="7:36" ht="13.5" customHeight="1"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</row>
    <row r="126" spans="7:36" ht="13.5" customHeight="1"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</row>
    <row r="127" spans="7:36" ht="13.5" customHeight="1"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</row>
    <row r="128" spans="7:36" ht="13.5" customHeight="1"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</row>
    <row r="129" spans="7:36" ht="13.5" customHeight="1"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</row>
    <row r="130" spans="7:36" ht="13.5" customHeight="1"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</row>
    <row r="131" spans="7:36" ht="13.5" customHeight="1"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</row>
    <row r="132" spans="7:36" ht="13.5" customHeight="1"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</row>
    <row r="133" spans="7:36" ht="13.5" customHeight="1"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</row>
    <row r="134" spans="7:36" ht="13.5" customHeight="1"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</row>
    <row r="135" spans="7:36" ht="13.5" customHeight="1"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</row>
    <row r="136" spans="7:36" ht="13.5" customHeight="1"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</row>
    <row r="137" spans="7:36" ht="13.5" customHeight="1"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</row>
    <row r="138" spans="7:36" ht="13.5" customHeight="1"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</row>
    <row r="139" spans="7:36" ht="13.5" customHeight="1"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</row>
    <row r="140" spans="7:36" ht="13.5" customHeight="1"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</row>
    <row r="141" spans="7:36" ht="13.5" customHeight="1"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</row>
    <row r="142" spans="7:36" ht="13.5" customHeight="1"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</row>
    <row r="143" spans="7:36" ht="13.5" customHeight="1"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</row>
    <row r="144" spans="7:36" ht="13.5" customHeight="1"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</row>
    <row r="145" spans="7:36" ht="13.5" customHeight="1"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</row>
    <row r="146" spans="7:36" ht="13.5" customHeight="1"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</row>
    <row r="147" spans="7:36" ht="13.5" customHeight="1"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</row>
    <row r="148" spans="7:36" ht="13.5" customHeight="1"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</row>
    <row r="149" spans="7:36" ht="13.5" customHeight="1"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</row>
    <row r="150" spans="7:36" ht="13.5" customHeight="1"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</row>
    <row r="151" spans="7:36" ht="13.5" customHeight="1"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</row>
    <row r="152" spans="7:36" ht="13.5" customHeight="1"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</row>
    <row r="153" spans="7:36" ht="13.5" customHeight="1"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</row>
    <row r="154" spans="7:36" ht="13.5" customHeight="1"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</row>
    <row r="155" spans="7:36" ht="13.5" customHeight="1"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</row>
    <row r="156" spans="7:36" ht="13.5" customHeight="1"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</row>
    <row r="157" spans="7:36" ht="13.5" customHeight="1"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</row>
    <row r="158" spans="7:36" ht="13.5" customHeight="1"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</row>
    <row r="159" spans="7:36" ht="13.5" customHeight="1"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</row>
    <row r="160" spans="7:36" ht="13.5" customHeight="1"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</row>
    <row r="161" spans="7:36" ht="13.5" customHeight="1"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</row>
    <row r="162" spans="7:36" ht="13.5" customHeight="1"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</row>
    <row r="163" spans="7:36" ht="13.5" customHeight="1"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</row>
    <row r="164" spans="7:36" ht="13.5" customHeight="1"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</row>
    <row r="165" spans="7:36" ht="13.5" customHeight="1"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</row>
    <row r="166" spans="7:36" ht="13.5" customHeight="1"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</row>
    <row r="167" spans="7:36" ht="13.5" customHeight="1"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</row>
    <row r="168" spans="7:36" ht="13.5" customHeight="1"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</row>
    <row r="169" spans="7:36" ht="13.5" customHeight="1"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</row>
    <row r="170" spans="7:36" ht="13.5" customHeight="1"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</row>
    <row r="171" spans="7:36" ht="13.5" customHeight="1"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</row>
    <row r="172" spans="7:36" ht="13.5" customHeight="1"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</row>
    <row r="173" spans="7:36" ht="13.5" customHeight="1"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81"/>
      <c r="AJ173" s="181"/>
    </row>
    <row r="174" spans="7:36" ht="13.5" customHeight="1"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81"/>
      <c r="AJ174" s="181"/>
    </row>
    <row r="175" spans="7:36" ht="13.5" customHeight="1"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81"/>
      <c r="AJ175" s="181"/>
    </row>
    <row r="176" spans="7:36" ht="13.5" customHeight="1"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81"/>
      <c r="AJ176" s="181"/>
    </row>
    <row r="177" spans="7:36" ht="13.5" customHeight="1"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1"/>
    </row>
    <row r="178" spans="7:36" ht="13.5" customHeight="1"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81"/>
      <c r="AJ178" s="181"/>
    </row>
    <row r="179" spans="7:36" ht="13.5" customHeight="1"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81"/>
      <c r="AJ179" s="181"/>
    </row>
    <row r="180" spans="7:36" ht="13.5" customHeight="1"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81"/>
      <c r="AJ180" s="181"/>
    </row>
    <row r="181" spans="7:36" ht="13.5" customHeight="1"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81"/>
      <c r="AI181" s="181"/>
      <c r="AJ181" s="181"/>
    </row>
    <row r="182" spans="7:36" ht="13.5" customHeight="1"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81"/>
      <c r="AJ182" s="181"/>
    </row>
    <row r="183" spans="7:36" ht="13.5" customHeight="1"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1"/>
      <c r="AH183" s="181"/>
      <c r="AI183" s="181"/>
      <c r="AJ183" s="181"/>
    </row>
    <row r="184" spans="7:36" ht="13.5" customHeight="1"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1"/>
      <c r="AH184" s="181"/>
      <c r="AI184" s="181"/>
      <c r="AJ184" s="181"/>
    </row>
    <row r="185" spans="7:36" ht="13.5" customHeight="1"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1"/>
      <c r="AH185" s="181"/>
      <c r="AI185" s="181"/>
      <c r="AJ185" s="181"/>
    </row>
    <row r="186" spans="7:36" ht="13.5" customHeight="1"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1"/>
      <c r="AH186" s="181"/>
      <c r="AI186" s="181"/>
      <c r="AJ186" s="181"/>
    </row>
    <row r="187" spans="7:36" ht="13.5" customHeight="1"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81"/>
      <c r="AH187" s="181"/>
      <c r="AI187" s="181"/>
      <c r="AJ187" s="181"/>
    </row>
    <row r="188" spans="7:36" ht="13.5" customHeight="1"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</row>
    <row r="189" spans="7:36" ht="13.5" customHeight="1"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81"/>
      <c r="AJ189" s="181"/>
    </row>
    <row r="190" spans="7:36" ht="13.5" customHeight="1"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81"/>
      <c r="AJ190" s="181"/>
    </row>
    <row r="191" spans="7:36" ht="13.5" customHeight="1"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</row>
    <row r="192" spans="7:36" ht="13.5" customHeight="1"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81"/>
      <c r="AJ192" s="181"/>
    </row>
    <row r="193" spans="7:36" ht="13.5" customHeight="1"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81"/>
      <c r="AJ193" s="181"/>
    </row>
    <row r="194" spans="7:36" ht="13.5" customHeight="1"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</row>
    <row r="195" spans="7:36" ht="13.5" customHeight="1"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81"/>
      <c r="AJ195" s="181"/>
    </row>
    <row r="196" spans="7:36" ht="13.5" customHeight="1"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81"/>
      <c r="AJ196" s="181"/>
    </row>
    <row r="197" spans="7:36" ht="13.5" customHeight="1"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81"/>
      <c r="AJ197" s="181"/>
    </row>
    <row r="198" spans="7:36" ht="13.5" customHeight="1"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81"/>
      <c r="AJ198" s="181"/>
    </row>
    <row r="199" spans="7:36" ht="13.5" customHeight="1"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81"/>
      <c r="AJ199" s="181"/>
    </row>
    <row r="200" spans="7:36" ht="13.5" customHeight="1"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81"/>
      <c r="AJ200" s="181"/>
    </row>
    <row r="201" spans="7:36" ht="13.5" customHeight="1"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81"/>
      <c r="AJ201" s="181"/>
    </row>
    <row r="202" spans="7:36" ht="13.5" customHeight="1"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81"/>
      <c r="AJ202" s="181"/>
    </row>
    <row r="203" spans="7:36" ht="13.5" customHeight="1"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81"/>
      <c r="AJ203" s="181"/>
    </row>
    <row r="204" spans="7:36" ht="13.5" customHeight="1"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1"/>
    </row>
    <row r="205" spans="7:36" ht="13.5" customHeight="1"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1"/>
      <c r="AI205" s="181"/>
      <c r="AJ205" s="181"/>
    </row>
    <row r="206" spans="7:36" ht="13.5" customHeight="1"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1"/>
      <c r="AG206" s="181"/>
      <c r="AH206" s="181"/>
      <c r="AI206" s="181"/>
      <c r="AJ206" s="181"/>
    </row>
    <row r="207" spans="7:36" ht="13.5" customHeight="1"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</row>
    <row r="208" spans="7:36" ht="13.5" customHeight="1"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</row>
    <row r="209" spans="7:36" ht="13.5" customHeight="1"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</row>
    <row r="210" spans="7:36" ht="13.5" customHeight="1"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</row>
    <row r="211" spans="7:36" ht="13.5" customHeight="1"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81"/>
      <c r="AJ211" s="181"/>
    </row>
    <row r="212" spans="7:36" ht="13.5" customHeight="1"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81"/>
      <c r="AJ212" s="181"/>
    </row>
    <row r="213" spans="7:36" ht="13.5" customHeight="1"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</row>
    <row r="214" spans="7:36" ht="13.5" customHeight="1"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81"/>
      <c r="AJ214" s="181"/>
    </row>
    <row r="215" spans="7:36" ht="13.5" customHeight="1"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81"/>
      <c r="AJ215" s="181"/>
    </row>
    <row r="216" spans="7:36" ht="13.5" customHeight="1"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</row>
    <row r="217" spans="7:36" ht="13.5" customHeight="1"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81"/>
      <c r="AJ217" s="181"/>
    </row>
    <row r="218" spans="7:36" ht="13.5" customHeight="1"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81"/>
      <c r="AJ218" s="181"/>
    </row>
    <row r="219" spans="7:36" ht="13.5" customHeight="1"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</row>
    <row r="220" spans="7:36" ht="13.5" customHeight="1"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</row>
    <row r="221" spans="7:36" ht="13.5" customHeight="1"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81"/>
      <c r="AJ221" s="181"/>
    </row>
    <row r="222" spans="7:36" ht="13.5" customHeight="1"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81"/>
      <c r="AJ222" s="181"/>
    </row>
    <row r="223" spans="7:36" ht="13.5" customHeight="1"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</row>
    <row r="224" spans="7:36" ht="13.5" customHeight="1"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81"/>
      <c r="AJ224" s="181"/>
    </row>
    <row r="225" spans="7:36" ht="13.5" customHeight="1"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</row>
    <row r="226" spans="7:36" ht="13.5" customHeight="1"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81"/>
    </row>
    <row r="227" spans="7:36" ht="13.5" customHeight="1"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81"/>
      <c r="AJ227" s="181"/>
    </row>
    <row r="228" spans="7:36" ht="13.5" customHeight="1"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</row>
    <row r="229" spans="7:36" ht="13.5" customHeight="1"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81"/>
      <c r="AJ229" s="181"/>
    </row>
    <row r="230" spans="7:36" ht="13.5" customHeight="1"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</row>
    <row r="231" spans="7:36" ht="13.5" customHeight="1"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81"/>
      <c r="AJ231" s="181"/>
    </row>
    <row r="232" spans="7:36" ht="13.5" customHeight="1"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81"/>
      <c r="AJ232" s="181"/>
    </row>
    <row r="233" spans="7:36" ht="13.5" customHeight="1"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81"/>
      <c r="AJ233" s="181"/>
    </row>
    <row r="234" spans="7:36" ht="13.5" customHeight="1"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81"/>
      <c r="AJ234" s="181"/>
    </row>
    <row r="235" spans="7:36" ht="13.5" customHeight="1"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81"/>
      <c r="AJ235" s="181"/>
    </row>
    <row r="236" spans="7:36" ht="13.5" customHeight="1"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1"/>
    </row>
    <row r="237" spans="7:36" ht="13.5" customHeight="1"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81"/>
      <c r="AJ237" s="181"/>
    </row>
    <row r="238" spans="7:36" ht="13.5" customHeight="1"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81"/>
      <c r="AJ238" s="181"/>
    </row>
    <row r="239" spans="7:36" ht="13.5" customHeight="1"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</row>
    <row r="240" spans="7:36" ht="13.5" customHeight="1"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</row>
    <row r="241" spans="7:36" ht="13.5" customHeight="1"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81"/>
      <c r="AJ241" s="181"/>
    </row>
    <row r="242" spans="7:36" ht="13.5" customHeight="1"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</row>
    <row r="243" spans="7:36" ht="13.5" customHeight="1"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81"/>
      <c r="AJ243" s="181"/>
    </row>
    <row r="244" spans="7:36" ht="13.5" customHeight="1"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81"/>
      <c r="AJ244" s="181"/>
    </row>
    <row r="245" spans="7:36" ht="13.5" customHeight="1"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81"/>
      <c r="AJ245" s="181"/>
    </row>
    <row r="246" spans="7:36" ht="13.5" customHeight="1"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</row>
    <row r="247" spans="7:36" ht="13.5" customHeight="1"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81"/>
      <c r="AJ247" s="181"/>
    </row>
    <row r="248" spans="7:36" ht="13.5" customHeight="1"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81"/>
      <c r="AJ248" s="181"/>
    </row>
    <row r="249" spans="7:36" ht="13.5" customHeight="1"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81"/>
      <c r="AJ249" s="181"/>
    </row>
    <row r="250" spans="7:36" ht="13.5" customHeight="1"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81"/>
      <c r="AJ250" s="181"/>
    </row>
    <row r="251" spans="7:36" ht="13.5" customHeight="1"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</row>
    <row r="252" spans="7:36" ht="13.5" customHeight="1"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</row>
    <row r="253" spans="7:36" ht="13.5" customHeight="1"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</row>
    <row r="254" spans="7:36" ht="13.5" customHeight="1"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81"/>
      <c r="AJ254" s="181"/>
    </row>
    <row r="255" spans="7:36" ht="13.5" customHeight="1"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</row>
    <row r="256" spans="7:36" ht="13.5" customHeight="1"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</row>
    <row r="257" spans="7:36" ht="13.5" customHeight="1"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</row>
    <row r="258" spans="7:36" ht="13.5" customHeight="1"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</row>
    <row r="259" spans="7:36" ht="13.5" customHeight="1"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</row>
    <row r="260" spans="7:36" ht="13.5" customHeight="1"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</row>
    <row r="261" spans="7:36" ht="13.5" customHeight="1"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</row>
    <row r="262" spans="7:36" ht="13.5" customHeight="1"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</row>
    <row r="263" spans="7:36" ht="13.5" customHeight="1"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</row>
    <row r="264" spans="7:36" ht="13.5" customHeight="1"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</row>
    <row r="265" spans="7:36" ht="13.5" customHeight="1"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</row>
    <row r="266" spans="7:36" ht="13.5" customHeight="1"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</row>
    <row r="267" spans="7:36" ht="13.5" customHeight="1"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</row>
    <row r="268" spans="7:36" ht="13.5" customHeight="1"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</row>
    <row r="269" spans="7:36" ht="13.5" customHeight="1"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</row>
    <row r="270" spans="7:36" ht="13.5" customHeight="1"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</row>
    <row r="271" spans="7:36" ht="13.5" customHeight="1"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</row>
    <row r="272" spans="7:36" ht="13.5" customHeight="1"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</row>
    <row r="273" spans="7:36" ht="13.5" customHeight="1"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</row>
    <row r="274" spans="7:36" ht="13.5" customHeight="1"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</row>
    <row r="275" spans="7:36" ht="13.5" customHeight="1"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</row>
    <row r="276" spans="7:36" ht="13.5" customHeight="1"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</row>
    <row r="277" spans="7:36" ht="13.5" customHeight="1"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</row>
    <row r="278" spans="7:36" ht="13.5" customHeight="1"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</row>
    <row r="279" spans="7:36" ht="13.5" customHeight="1"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</row>
    <row r="280" spans="7:36" ht="13.5" customHeight="1"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</row>
    <row r="281" spans="7:36" ht="13.5" customHeight="1"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</row>
    <row r="282" spans="7:36" ht="13.5" customHeight="1"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</row>
    <row r="283" spans="7:36" ht="13.5" customHeight="1"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</row>
    <row r="284" spans="7:36" ht="13.5" customHeight="1"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</row>
    <row r="285" spans="7:36" ht="13.5" customHeight="1"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</row>
    <row r="286" spans="7:36" ht="13.5" customHeight="1"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</row>
    <row r="287" spans="7:36" ht="13.5" customHeight="1"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</row>
    <row r="288" spans="7:36" ht="13.5" customHeight="1"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</row>
    <row r="289" spans="7:36" ht="13.5" customHeight="1"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</row>
    <row r="290" spans="7:36" ht="13.5" customHeight="1"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</row>
    <row r="291" spans="7:36" ht="13.5" customHeight="1"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</row>
    <row r="292" spans="7:36" ht="13.5" customHeight="1"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</row>
    <row r="293" spans="7:36" ht="13.5" customHeight="1"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</row>
    <row r="294" spans="7:36" ht="13.5" customHeight="1"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</row>
    <row r="295" spans="7:36" ht="13.5" customHeight="1"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</row>
    <row r="296" spans="7:36" ht="13.5" customHeight="1"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</row>
    <row r="297" spans="7:36" ht="13.5" customHeight="1"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</row>
    <row r="298" spans="7:36" ht="13.5" customHeight="1"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</row>
    <row r="299" spans="7:36" ht="13.5" customHeight="1"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</row>
    <row r="300" spans="7:36" ht="13.5" customHeight="1"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</row>
    <row r="301" spans="7:36" ht="13.5" customHeight="1"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</row>
    <row r="302" spans="7:36" ht="13.5" customHeight="1"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</row>
    <row r="303" spans="7:36" ht="13.5" customHeight="1"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</row>
    <row r="304" spans="7:36" ht="13.5" customHeight="1"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</row>
    <row r="305" spans="7:36" ht="13.5" customHeight="1"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</row>
    <row r="306" spans="7:36" ht="13.5" customHeight="1"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</row>
    <row r="307" spans="7:36" ht="13.5" customHeight="1"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</row>
    <row r="308" spans="7:36" ht="13.5" customHeight="1"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</row>
    <row r="309" spans="7:36" ht="13.5" customHeight="1"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</row>
    <row r="310" spans="7:36" ht="13.5" customHeight="1"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</row>
    <row r="311" spans="7:36" ht="13.5" customHeight="1"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</row>
    <row r="312" spans="7:36" ht="13.5" customHeight="1"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</row>
    <row r="313" spans="7:36" ht="13.5" customHeight="1"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</row>
    <row r="314" spans="7:36" ht="13.5" customHeight="1"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</row>
    <row r="315" spans="7:36" ht="13.5" customHeight="1"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</row>
    <row r="316" spans="7:36" ht="13.5" customHeight="1"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</row>
    <row r="317" spans="7:36" ht="13.5" customHeight="1"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</row>
    <row r="318" spans="7:36" ht="13.5" customHeight="1"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</row>
    <row r="319" spans="7:36" ht="13.5" customHeight="1"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</row>
    <row r="320" spans="7:36" ht="13.5" customHeight="1"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</row>
    <row r="321" spans="7:36" ht="13.5" customHeight="1"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</row>
    <row r="322" spans="7:36" ht="13.5" customHeight="1"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</row>
    <row r="323" spans="7:36" ht="13.5" customHeight="1"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</row>
    <row r="324" spans="7:36" ht="13.5" customHeight="1"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</row>
    <row r="325" spans="7:36" ht="13.5" customHeight="1"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</row>
    <row r="326" spans="7:36" ht="13.5" customHeight="1"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</row>
    <row r="327" spans="7:36" ht="13.5" customHeight="1"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</row>
    <row r="328" spans="7:36" ht="13.5" customHeight="1"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</row>
    <row r="329" spans="7:36" ht="13.5" customHeight="1"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</row>
    <row r="330" spans="7:36" ht="13.5" customHeight="1"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</row>
    <row r="331" spans="7:36" ht="13.5" customHeight="1"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</row>
    <row r="332" spans="7:36" ht="13.5" customHeight="1"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</row>
    <row r="333" spans="7:36" ht="13.5" customHeight="1"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</row>
    <row r="334" spans="7:36" ht="13.5" customHeight="1"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</row>
    <row r="335" spans="7:36" ht="13.5" customHeight="1"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</row>
    <row r="336" spans="7:36" ht="13.5" customHeight="1"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</row>
    <row r="337" spans="7:36" ht="13.5" customHeight="1"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</row>
    <row r="338" spans="7:36" ht="13.5" customHeight="1"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</row>
    <row r="339" spans="7:36" ht="13.5" customHeight="1"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</row>
    <row r="340" spans="7:36" ht="13.5" customHeight="1"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</row>
    <row r="341" spans="7:36" ht="13.5" customHeight="1"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</row>
    <row r="342" spans="7:36" ht="13.5" customHeight="1"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</row>
    <row r="343" spans="7:36" ht="13.5" customHeight="1"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</row>
    <row r="344" spans="7:36" ht="13.5" customHeight="1"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</row>
    <row r="345" spans="7:36" ht="13.5" customHeight="1"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</row>
    <row r="346" spans="7:36" ht="13.5" customHeight="1"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</row>
    <row r="347" spans="7:36" ht="13.5" customHeight="1"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</row>
    <row r="348" spans="7:36" ht="13.5" customHeight="1"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</row>
    <row r="349" spans="7:36" ht="13.5" customHeight="1"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</row>
    <row r="350" spans="7:36" ht="13.5" customHeight="1"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</row>
    <row r="351" spans="7:36" ht="13.5" customHeight="1"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</row>
    <row r="352" spans="7:36" ht="13.5" customHeight="1"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</row>
    <row r="353" spans="7:36" ht="13.5" customHeight="1"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</row>
    <row r="354" spans="7:36" ht="13.5" customHeight="1"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</row>
    <row r="355" spans="7:36" ht="13.5" customHeight="1"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</row>
    <row r="356" spans="7:36" ht="13.5" customHeight="1"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</row>
    <row r="357" spans="7:36" ht="13.5" customHeight="1"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</row>
    <row r="358" spans="7:36" ht="13.5" customHeight="1"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</row>
    <row r="359" spans="7:36" ht="13.5" customHeight="1"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</row>
    <row r="360" spans="7:36" ht="13.5" customHeight="1"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</row>
    <row r="361" spans="7:36" ht="13.5" customHeight="1"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</row>
    <row r="362" spans="7:36" ht="13.5" customHeight="1"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</row>
    <row r="363" spans="7:36" ht="13.5" customHeight="1"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</row>
    <row r="364" spans="7:36" ht="13.5" customHeight="1"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</row>
    <row r="365" spans="7:36" ht="13.5" customHeight="1"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</row>
    <row r="366" spans="7:36" ht="13.5" customHeight="1"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</row>
    <row r="367" spans="7:36" ht="13.5" customHeight="1"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</row>
    <row r="368" spans="7:36" ht="13.5" customHeight="1"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</row>
    <row r="369" spans="7:36" ht="13.5" customHeight="1"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</row>
    <row r="370" spans="7:36" ht="13.5" customHeight="1"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</row>
    <row r="371" spans="7:36" ht="13.5" customHeight="1"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</row>
    <row r="372" spans="7:36" ht="13.5" customHeight="1"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</row>
    <row r="373" spans="7:36" ht="13.5" customHeight="1"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</row>
    <row r="374" spans="7:36" ht="13.5" customHeight="1"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</row>
    <row r="375" spans="7:36" ht="13.5" customHeight="1"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</row>
    <row r="376" spans="7:36" ht="13.5" customHeight="1"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81"/>
      <c r="AJ376" s="181"/>
    </row>
    <row r="377" spans="7:36" ht="13.5" customHeight="1"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81"/>
      <c r="AJ377" s="181"/>
    </row>
    <row r="378" spans="7:36" ht="13.5" customHeight="1"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81"/>
      <c r="AJ378" s="181"/>
    </row>
    <row r="379" spans="7:36" ht="13.5" customHeight="1"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</row>
    <row r="380" spans="7:36" ht="13.5" customHeight="1"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</row>
    <row r="381" spans="7:36" ht="13.5" customHeight="1"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</row>
    <row r="382" spans="7:36" ht="13.5" customHeight="1"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</row>
    <row r="383" spans="7:36" ht="13.5" customHeight="1"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</row>
    <row r="384" spans="7:36" ht="13.5" customHeight="1"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</row>
    <row r="385" spans="7:36" ht="13.5" customHeight="1"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</row>
    <row r="386" spans="7:36" ht="13.5" customHeight="1"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</row>
    <row r="387" spans="7:36" ht="13.5" customHeight="1"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</row>
    <row r="388" spans="7:36" ht="13.5" customHeight="1"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</row>
    <row r="389" spans="7:36" ht="13.5" customHeight="1"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</row>
    <row r="390" spans="7:36" ht="13.5" customHeight="1"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</row>
    <row r="391" spans="7:36" ht="13.5" customHeight="1"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</row>
    <row r="392" spans="7:36" ht="13.5" customHeight="1"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</row>
    <row r="393" spans="7:36" ht="13.5" customHeight="1"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</row>
    <row r="394" spans="7:36" ht="13.5" customHeight="1"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</row>
    <row r="395" spans="7:36" ht="13.5" customHeight="1"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</row>
    <row r="396" spans="7:36" ht="13.5" customHeight="1"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</row>
    <row r="397" spans="7:36" ht="13.5" customHeight="1"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</row>
    <row r="398" spans="7:36" ht="13.5" customHeight="1"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</row>
    <row r="399" spans="7:36" ht="13.5" customHeight="1"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</row>
    <row r="400" spans="7:36" ht="13.5" customHeight="1"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</row>
    <row r="401" spans="7:36" ht="13.5" customHeight="1"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</row>
    <row r="402" spans="7:36" ht="13.5" customHeight="1"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</row>
    <row r="403" spans="7:36" ht="13.5" customHeight="1"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</row>
    <row r="404" spans="7:36" ht="13.5" customHeight="1"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</row>
    <row r="405" spans="7:36" ht="13.5" customHeight="1"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</row>
    <row r="406" spans="7:36" ht="13.5" customHeight="1"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</row>
    <row r="407" spans="7:36" ht="13.5" customHeight="1"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</row>
    <row r="408" spans="7:36" ht="13.5" customHeight="1"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</row>
    <row r="409" spans="7:36" ht="13.5" customHeight="1"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</row>
    <row r="410" spans="7:36" ht="13.5" customHeight="1"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</row>
    <row r="411" spans="7:36" ht="13.5" customHeight="1"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</row>
    <row r="412" spans="7:36" ht="13.5" customHeight="1"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</row>
    <row r="413" spans="7:36" ht="13.5" customHeight="1"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</row>
    <row r="414" spans="7:36" ht="13.5" customHeight="1"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</row>
    <row r="415" spans="7:36" ht="13.5" customHeight="1"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</row>
    <row r="416" spans="7:36" ht="13.5" customHeight="1"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</row>
    <row r="417" spans="7:36" ht="13.5" customHeight="1"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</row>
    <row r="418" spans="7:36" ht="13.5" customHeight="1"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</row>
    <row r="419" spans="7:36" ht="13.5" customHeight="1"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</row>
    <row r="420" spans="7:36" ht="13.5" customHeight="1"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</row>
    <row r="421" spans="7:36" ht="13.5" customHeight="1"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</row>
    <row r="422" spans="7:36" ht="13.5" customHeight="1"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</row>
    <row r="423" spans="7:36" ht="13.5" customHeight="1"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</row>
    <row r="424" spans="7:36" ht="13.5" customHeight="1"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</row>
    <row r="425" spans="7:36" ht="13.5" customHeight="1"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</row>
    <row r="426" spans="7:36" ht="13.5" customHeight="1"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</row>
    <row r="427" spans="7:36" ht="13.5" customHeight="1"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</row>
    <row r="428" spans="7:36" ht="13.5" customHeight="1"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</row>
    <row r="429" spans="7:36" ht="13.5" customHeight="1"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</row>
    <row r="430" spans="7:36" ht="13.5" customHeight="1"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</row>
    <row r="431" spans="7:36" ht="13.5" customHeight="1"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</row>
    <row r="432" spans="7:36" ht="13.5" customHeight="1"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</row>
    <row r="433" spans="7:36" ht="13.5" customHeight="1"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</row>
    <row r="434" spans="7:36" ht="13.5" customHeight="1"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</row>
    <row r="435" spans="7:36" ht="13.5" customHeight="1"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</row>
    <row r="436" spans="7:36" ht="13.5" customHeight="1"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</row>
    <row r="437" spans="7:36" ht="13.5" customHeight="1"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</row>
    <row r="438" spans="7:36" ht="13.5" customHeight="1"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</row>
    <row r="439" spans="7:36" ht="13.5" customHeight="1"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</row>
    <row r="440" spans="7:36" ht="13.5" customHeight="1"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</row>
    <row r="441" spans="7:36" ht="13.5" customHeight="1"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</row>
    <row r="442" spans="7:36" ht="13.5" customHeight="1"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</row>
    <row r="443" spans="7:36" ht="13.5" customHeight="1"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</row>
    <row r="444" spans="7:36" ht="13.5" customHeight="1"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</row>
    <row r="445" spans="7:36" ht="13.5" customHeight="1"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</row>
    <row r="446" spans="7:36" ht="13.5" customHeight="1"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</row>
    <row r="447" spans="7:36" ht="13.5" customHeight="1"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81"/>
      <c r="AJ447" s="181"/>
    </row>
    <row r="448" spans="7:36" ht="13.5" customHeight="1"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81"/>
      <c r="AJ448" s="181"/>
    </row>
    <row r="449" spans="7:36" ht="13.5" customHeight="1"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81"/>
      <c r="AJ449" s="181"/>
    </row>
    <row r="450" spans="7:36" ht="13.5" customHeight="1"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81"/>
      <c r="AJ450" s="181"/>
    </row>
    <row r="451" spans="7:36" ht="13.5" customHeight="1"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81"/>
      <c r="AJ451" s="181"/>
    </row>
    <row r="452" spans="7:36" ht="13.5" customHeight="1"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</row>
    <row r="453" spans="7:36" ht="13.5" customHeight="1"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  <c r="AC453" s="181"/>
      <c r="AD453" s="181"/>
      <c r="AE453" s="181"/>
      <c r="AF453" s="181"/>
      <c r="AG453" s="181"/>
      <c r="AH453" s="181"/>
      <c r="AI453" s="181"/>
      <c r="AJ453" s="181"/>
    </row>
    <row r="454" spans="7:36" ht="13.5" customHeight="1"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  <c r="AC454" s="181"/>
      <c r="AD454" s="181"/>
      <c r="AE454" s="181"/>
      <c r="AF454" s="181"/>
      <c r="AG454" s="181"/>
      <c r="AH454" s="181"/>
      <c r="AI454" s="181"/>
      <c r="AJ454" s="181"/>
    </row>
    <row r="455" spans="7:36" ht="13.5" customHeight="1"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  <c r="AC455" s="181"/>
      <c r="AD455" s="181"/>
      <c r="AE455" s="181"/>
      <c r="AF455" s="181"/>
      <c r="AG455" s="181"/>
      <c r="AH455" s="181"/>
      <c r="AI455" s="181"/>
      <c r="AJ455" s="181"/>
    </row>
    <row r="456" spans="7:36" ht="13.5" customHeight="1"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  <c r="AC456" s="181"/>
      <c r="AD456" s="181"/>
      <c r="AE456" s="181"/>
      <c r="AF456" s="181"/>
      <c r="AG456" s="181"/>
      <c r="AH456" s="181"/>
      <c r="AI456" s="181"/>
      <c r="AJ456" s="181"/>
    </row>
    <row r="457" spans="7:36" ht="13.5" customHeight="1"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  <c r="AC457" s="181"/>
      <c r="AD457" s="181"/>
      <c r="AE457" s="181"/>
      <c r="AF457" s="181"/>
      <c r="AG457" s="181"/>
      <c r="AH457" s="181"/>
      <c r="AI457" s="181"/>
      <c r="AJ457" s="181"/>
    </row>
    <row r="458" spans="7:36" ht="13.5" customHeight="1"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  <c r="AC458" s="181"/>
      <c r="AD458" s="181"/>
      <c r="AE458" s="181"/>
      <c r="AF458" s="181"/>
      <c r="AG458" s="181"/>
      <c r="AH458" s="181"/>
      <c r="AI458" s="181"/>
      <c r="AJ458" s="181"/>
    </row>
    <row r="459" spans="7:36" ht="13.5" customHeight="1"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  <c r="AC459" s="181"/>
      <c r="AD459" s="181"/>
      <c r="AE459" s="181"/>
      <c r="AF459" s="181"/>
      <c r="AG459" s="181"/>
      <c r="AH459" s="181"/>
      <c r="AI459" s="181"/>
      <c r="AJ459" s="181"/>
    </row>
    <row r="460" spans="7:36" ht="13.5" customHeight="1"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  <c r="AC460" s="181"/>
      <c r="AD460" s="181"/>
      <c r="AE460" s="181"/>
      <c r="AF460" s="181"/>
      <c r="AG460" s="181"/>
      <c r="AH460" s="181"/>
      <c r="AI460" s="181"/>
      <c r="AJ460" s="181"/>
    </row>
    <row r="461" spans="7:36" ht="13.5" customHeight="1"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  <c r="AC461" s="181"/>
      <c r="AD461" s="181"/>
      <c r="AE461" s="181"/>
      <c r="AF461" s="181"/>
      <c r="AG461" s="181"/>
      <c r="AH461" s="181"/>
      <c r="AI461" s="181"/>
      <c r="AJ461" s="181"/>
    </row>
    <row r="462" spans="7:36" ht="13.5" customHeight="1"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  <c r="AC462" s="181"/>
      <c r="AD462" s="181"/>
      <c r="AE462" s="181"/>
      <c r="AF462" s="181"/>
      <c r="AG462" s="181"/>
      <c r="AH462" s="181"/>
      <c r="AI462" s="181"/>
      <c r="AJ462" s="181"/>
    </row>
    <row r="463" spans="7:36" ht="13.5" customHeight="1"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  <c r="AC463" s="181"/>
      <c r="AD463" s="181"/>
      <c r="AE463" s="181"/>
      <c r="AF463" s="181"/>
      <c r="AG463" s="181"/>
      <c r="AH463" s="181"/>
      <c r="AI463" s="181"/>
      <c r="AJ463" s="181"/>
    </row>
    <row r="464" spans="7:36" ht="13.5" customHeight="1"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  <c r="AC464" s="181"/>
      <c r="AD464" s="181"/>
      <c r="AE464" s="181"/>
      <c r="AF464" s="181"/>
      <c r="AG464" s="181"/>
      <c r="AH464" s="181"/>
      <c r="AI464" s="181"/>
      <c r="AJ464" s="181"/>
    </row>
    <row r="465" spans="7:36" ht="13.5" customHeight="1"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  <c r="AC465" s="181"/>
      <c r="AD465" s="181"/>
      <c r="AE465" s="181"/>
      <c r="AF465" s="181"/>
      <c r="AG465" s="181"/>
      <c r="AH465" s="181"/>
      <c r="AI465" s="181"/>
      <c r="AJ465" s="181"/>
    </row>
    <row r="466" spans="7:36" ht="13.5" customHeight="1"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  <c r="AC466" s="181"/>
      <c r="AD466" s="181"/>
      <c r="AE466" s="181"/>
      <c r="AF466" s="181"/>
      <c r="AG466" s="181"/>
      <c r="AH466" s="181"/>
      <c r="AI466" s="181"/>
      <c r="AJ466" s="181"/>
    </row>
    <row r="467" spans="7:36" ht="13.5" customHeight="1"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  <c r="AC467" s="181"/>
      <c r="AD467" s="181"/>
      <c r="AE467" s="181"/>
      <c r="AF467" s="181"/>
      <c r="AG467" s="181"/>
      <c r="AH467" s="181"/>
      <c r="AI467" s="181"/>
      <c r="AJ467" s="181"/>
    </row>
    <row r="468" spans="7:36" ht="13.5" customHeight="1"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  <c r="AC468" s="181"/>
      <c r="AD468" s="181"/>
      <c r="AE468" s="181"/>
      <c r="AF468" s="181"/>
      <c r="AG468" s="181"/>
      <c r="AH468" s="181"/>
      <c r="AI468" s="181"/>
      <c r="AJ468" s="181"/>
    </row>
    <row r="469" spans="7:36" ht="13.5" customHeight="1"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  <c r="AC469" s="181"/>
      <c r="AD469" s="181"/>
      <c r="AE469" s="181"/>
      <c r="AF469" s="181"/>
      <c r="AG469" s="181"/>
      <c r="AH469" s="181"/>
      <c r="AI469" s="181"/>
      <c r="AJ469" s="181"/>
    </row>
    <row r="470" spans="7:36" ht="13.5" customHeight="1"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  <c r="AC470" s="181"/>
      <c r="AD470" s="181"/>
      <c r="AE470" s="181"/>
      <c r="AF470" s="181"/>
      <c r="AG470" s="181"/>
      <c r="AH470" s="181"/>
      <c r="AI470" s="181"/>
      <c r="AJ470" s="181"/>
    </row>
    <row r="471" spans="7:36" ht="13.5" customHeight="1"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  <c r="AC471" s="181"/>
      <c r="AD471" s="181"/>
      <c r="AE471" s="181"/>
      <c r="AF471" s="181"/>
      <c r="AG471" s="181"/>
      <c r="AH471" s="181"/>
      <c r="AI471" s="181"/>
      <c r="AJ471" s="181"/>
    </row>
    <row r="472" spans="7:36" ht="13.5" customHeight="1"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  <c r="AC472" s="181"/>
      <c r="AD472" s="181"/>
      <c r="AE472" s="181"/>
      <c r="AF472" s="181"/>
      <c r="AG472" s="181"/>
      <c r="AH472" s="181"/>
      <c r="AI472" s="181"/>
      <c r="AJ472" s="181"/>
    </row>
    <row r="473" spans="7:36" ht="13.5" customHeight="1"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  <c r="AC473" s="181"/>
      <c r="AD473" s="181"/>
      <c r="AE473" s="181"/>
      <c r="AF473" s="181"/>
      <c r="AG473" s="181"/>
      <c r="AH473" s="181"/>
      <c r="AI473" s="181"/>
      <c r="AJ473" s="181"/>
    </row>
    <row r="474" spans="7:36" ht="13.5" customHeight="1"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  <c r="AC474" s="181"/>
      <c r="AD474" s="181"/>
      <c r="AE474" s="181"/>
      <c r="AF474" s="181"/>
      <c r="AG474" s="181"/>
      <c r="AH474" s="181"/>
      <c r="AI474" s="181"/>
      <c r="AJ474" s="181"/>
    </row>
    <row r="475" spans="7:36" ht="13.5" customHeight="1"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  <c r="AC475" s="181"/>
      <c r="AD475" s="181"/>
      <c r="AE475" s="181"/>
      <c r="AF475" s="181"/>
      <c r="AG475" s="181"/>
      <c r="AH475" s="181"/>
      <c r="AI475" s="181"/>
      <c r="AJ475" s="181"/>
    </row>
    <row r="476" spans="7:36" ht="13.5" customHeight="1"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  <c r="AC476" s="181"/>
      <c r="AD476" s="181"/>
      <c r="AE476" s="181"/>
      <c r="AF476" s="181"/>
      <c r="AG476" s="181"/>
      <c r="AH476" s="181"/>
      <c r="AI476" s="181"/>
      <c r="AJ476" s="181"/>
    </row>
    <row r="477" spans="7:36" ht="13.5" customHeight="1"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  <c r="AC477" s="181"/>
      <c r="AD477" s="181"/>
      <c r="AE477" s="181"/>
      <c r="AF477" s="181"/>
      <c r="AG477" s="181"/>
      <c r="AH477" s="181"/>
      <c r="AI477" s="181"/>
      <c r="AJ477" s="181"/>
    </row>
    <row r="478" spans="7:36" ht="13.5" customHeight="1"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  <c r="AC478" s="181"/>
      <c r="AD478" s="181"/>
      <c r="AE478" s="181"/>
      <c r="AF478" s="181"/>
      <c r="AG478" s="181"/>
      <c r="AH478" s="181"/>
      <c r="AI478" s="181"/>
      <c r="AJ478" s="181"/>
    </row>
    <row r="479" spans="7:36" ht="13.5" customHeight="1"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  <c r="AC479" s="181"/>
      <c r="AD479" s="181"/>
      <c r="AE479" s="181"/>
      <c r="AF479" s="181"/>
      <c r="AG479" s="181"/>
      <c r="AH479" s="181"/>
      <c r="AI479" s="181"/>
      <c r="AJ479" s="181"/>
    </row>
    <row r="480" spans="7:36" ht="13.5" customHeight="1"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  <c r="AC480" s="181"/>
      <c r="AD480" s="181"/>
      <c r="AE480" s="181"/>
      <c r="AF480" s="181"/>
      <c r="AG480" s="181"/>
      <c r="AH480" s="181"/>
      <c r="AI480" s="181"/>
      <c r="AJ480" s="181"/>
    </row>
    <row r="481" spans="7:36" ht="13.5" customHeight="1"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  <c r="AC481" s="181"/>
      <c r="AD481" s="181"/>
      <c r="AE481" s="181"/>
      <c r="AF481" s="181"/>
      <c r="AG481" s="181"/>
      <c r="AH481" s="181"/>
      <c r="AI481" s="181"/>
      <c r="AJ481" s="181"/>
    </row>
    <row r="482" spans="7:36" ht="13.5" customHeight="1"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  <c r="AC482" s="181"/>
      <c r="AD482" s="181"/>
      <c r="AE482" s="181"/>
      <c r="AF482" s="181"/>
      <c r="AG482" s="181"/>
      <c r="AH482" s="181"/>
      <c r="AI482" s="181"/>
      <c r="AJ482" s="181"/>
    </row>
    <row r="483" spans="7:36" ht="13.5" customHeight="1"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  <c r="AC483" s="181"/>
      <c r="AD483" s="181"/>
      <c r="AE483" s="181"/>
      <c r="AF483" s="181"/>
      <c r="AG483" s="181"/>
      <c r="AH483" s="181"/>
      <c r="AI483" s="181"/>
      <c r="AJ483" s="181"/>
    </row>
    <row r="484" spans="7:36" ht="13.5" customHeight="1"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  <c r="AC484" s="181"/>
      <c r="AD484" s="181"/>
      <c r="AE484" s="181"/>
      <c r="AF484" s="181"/>
      <c r="AG484" s="181"/>
      <c r="AH484" s="181"/>
      <c r="AI484" s="181"/>
      <c r="AJ484" s="181"/>
    </row>
    <row r="485" spans="7:36" ht="13.5" customHeight="1"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  <c r="AC485" s="181"/>
      <c r="AD485" s="181"/>
      <c r="AE485" s="181"/>
      <c r="AF485" s="181"/>
      <c r="AG485" s="181"/>
      <c r="AH485" s="181"/>
      <c r="AI485" s="181"/>
      <c r="AJ485" s="181"/>
    </row>
    <row r="486" spans="7:36" ht="13.5" customHeight="1"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  <c r="AC486" s="181"/>
      <c r="AD486" s="181"/>
      <c r="AE486" s="181"/>
      <c r="AF486" s="181"/>
      <c r="AG486" s="181"/>
      <c r="AH486" s="181"/>
      <c r="AI486" s="181"/>
      <c r="AJ486" s="181"/>
    </row>
    <row r="487" spans="7:36" ht="13.5" customHeight="1"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  <c r="AC487" s="181"/>
      <c r="AD487" s="181"/>
      <c r="AE487" s="181"/>
      <c r="AF487" s="181"/>
      <c r="AG487" s="181"/>
      <c r="AH487" s="181"/>
      <c r="AI487" s="181"/>
      <c r="AJ487" s="181"/>
    </row>
    <row r="488" spans="7:36" ht="13.5" customHeight="1"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  <c r="AC488" s="181"/>
      <c r="AD488" s="181"/>
      <c r="AE488" s="181"/>
      <c r="AF488" s="181"/>
      <c r="AG488" s="181"/>
      <c r="AH488" s="181"/>
      <c r="AI488" s="181"/>
      <c r="AJ488" s="181"/>
    </row>
    <row r="489" spans="7:36" ht="13.5" customHeight="1"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  <c r="AC489" s="181"/>
      <c r="AD489" s="181"/>
      <c r="AE489" s="181"/>
      <c r="AF489" s="181"/>
      <c r="AG489" s="181"/>
      <c r="AH489" s="181"/>
      <c r="AI489" s="181"/>
      <c r="AJ489" s="181"/>
    </row>
    <row r="490" spans="7:36" ht="13.5" customHeight="1"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  <c r="AC490" s="181"/>
      <c r="AD490" s="181"/>
      <c r="AE490" s="181"/>
      <c r="AF490" s="181"/>
      <c r="AG490" s="181"/>
      <c r="AH490" s="181"/>
      <c r="AI490" s="181"/>
      <c r="AJ490" s="181"/>
    </row>
    <row r="491" spans="7:36" ht="13.5" customHeight="1"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  <c r="AC491" s="181"/>
      <c r="AD491" s="181"/>
      <c r="AE491" s="181"/>
      <c r="AF491" s="181"/>
      <c r="AG491" s="181"/>
      <c r="AH491" s="181"/>
      <c r="AI491" s="181"/>
      <c r="AJ491" s="181"/>
    </row>
    <row r="492" spans="7:36" ht="13.5" customHeight="1"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  <c r="AC492" s="181"/>
      <c r="AD492" s="181"/>
      <c r="AE492" s="181"/>
      <c r="AF492" s="181"/>
      <c r="AG492" s="181"/>
      <c r="AH492" s="181"/>
      <c r="AI492" s="181"/>
      <c r="AJ492" s="181"/>
    </row>
    <row r="493" spans="7:36" ht="13.5" customHeight="1"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  <c r="AC493" s="181"/>
      <c r="AD493" s="181"/>
      <c r="AE493" s="181"/>
      <c r="AF493" s="181"/>
      <c r="AG493" s="181"/>
      <c r="AH493" s="181"/>
      <c r="AI493" s="181"/>
      <c r="AJ493" s="181"/>
    </row>
    <row r="494" spans="7:36" ht="13.5" customHeight="1"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  <c r="AC494" s="181"/>
      <c r="AD494" s="181"/>
      <c r="AE494" s="181"/>
      <c r="AF494" s="181"/>
      <c r="AG494" s="181"/>
      <c r="AH494" s="181"/>
      <c r="AI494" s="181"/>
      <c r="AJ494" s="181"/>
    </row>
    <row r="495" spans="7:36" ht="13.5" customHeight="1"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  <c r="AC495" s="181"/>
      <c r="AD495" s="181"/>
      <c r="AE495" s="181"/>
      <c r="AF495" s="181"/>
      <c r="AG495" s="181"/>
      <c r="AH495" s="181"/>
      <c r="AI495" s="181"/>
      <c r="AJ495" s="181"/>
    </row>
    <row r="496" spans="7:36" ht="13.5" customHeight="1"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  <c r="AC496" s="181"/>
      <c r="AD496" s="181"/>
      <c r="AE496" s="181"/>
      <c r="AF496" s="181"/>
      <c r="AG496" s="181"/>
      <c r="AH496" s="181"/>
      <c r="AI496" s="181"/>
      <c r="AJ496" s="181"/>
    </row>
    <row r="497" spans="7:36" ht="13.5" customHeight="1"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  <c r="AC497" s="181"/>
      <c r="AD497" s="181"/>
      <c r="AE497" s="181"/>
      <c r="AF497" s="181"/>
      <c r="AG497" s="181"/>
      <c r="AH497" s="181"/>
      <c r="AI497" s="181"/>
      <c r="AJ497" s="181"/>
    </row>
    <row r="498" spans="7:36" ht="13.5" customHeight="1"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  <c r="AC498" s="181"/>
      <c r="AD498" s="181"/>
      <c r="AE498" s="181"/>
      <c r="AF498" s="181"/>
      <c r="AG498" s="181"/>
      <c r="AH498" s="181"/>
      <c r="AI498" s="181"/>
      <c r="AJ498" s="181"/>
    </row>
    <row r="499" spans="7:36" ht="13.5" customHeight="1"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  <c r="AC499" s="181"/>
      <c r="AD499" s="181"/>
      <c r="AE499" s="181"/>
      <c r="AF499" s="181"/>
      <c r="AG499" s="181"/>
      <c r="AH499" s="181"/>
      <c r="AI499" s="181"/>
      <c r="AJ499" s="181"/>
    </row>
    <row r="500" spans="7:36" ht="13.5" customHeight="1"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  <c r="AC500" s="181"/>
      <c r="AD500" s="181"/>
      <c r="AE500" s="181"/>
      <c r="AF500" s="181"/>
      <c r="AG500" s="181"/>
      <c r="AH500" s="181"/>
      <c r="AI500" s="181"/>
      <c r="AJ500" s="181"/>
    </row>
    <row r="501" spans="7:36" ht="13.5" customHeight="1"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  <c r="AC501" s="181"/>
      <c r="AD501" s="181"/>
      <c r="AE501" s="181"/>
      <c r="AF501" s="181"/>
      <c r="AG501" s="181"/>
      <c r="AH501" s="181"/>
      <c r="AI501" s="181"/>
      <c r="AJ501" s="181"/>
    </row>
    <row r="502" spans="7:36" ht="13.5" customHeight="1"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  <c r="AC502" s="181"/>
      <c r="AD502" s="181"/>
      <c r="AE502" s="181"/>
      <c r="AF502" s="181"/>
      <c r="AG502" s="181"/>
      <c r="AH502" s="181"/>
      <c r="AI502" s="181"/>
      <c r="AJ502" s="181"/>
    </row>
    <row r="503" spans="7:36" ht="13.5" customHeight="1"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  <c r="AC503" s="181"/>
      <c r="AD503" s="181"/>
      <c r="AE503" s="181"/>
      <c r="AF503" s="181"/>
      <c r="AG503" s="181"/>
      <c r="AH503" s="181"/>
      <c r="AI503" s="181"/>
      <c r="AJ503" s="181"/>
    </row>
    <row r="504" spans="7:36" ht="13.5" customHeight="1"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  <c r="AC504" s="181"/>
      <c r="AD504" s="181"/>
      <c r="AE504" s="181"/>
      <c r="AF504" s="181"/>
      <c r="AG504" s="181"/>
      <c r="AH504" s="181"/>
      <c r="AI504" s="181"/>
      <c r="AJ504" s="181"/>
    </row>
    <row r="505" spans="7:36" ht="13.5" customHeight="1"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  <c r="AC505" s="181"/>
      <c r="AD505" s="181"/>
      <c r="AE505" s="181"/>
      <c r="AF505" s="181"/>
      <c r="AG505" s="181"/>
      <c r="AH505" s="181"/>
      <c r="AI505" s="181"/>
      <c r="AJ505" s="181"/>
    </row>
    <row r="506" spans="7:36" ht="13.5" customHeight="1"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  <c r="AC506" s="181"/>
      <c r="AD506" s="181"/>
      <c r="AE506" s="181"/>
      <c r="AF506" s="181"/>
      <c r="AG506" s="181"/>
      <c r="AH506" s="181"/>
      <c r="AI506" s="181"/>
      <c r="AJ506" s="181"/>
    </row>
    <row r="507" spans="7:36" ht="13.5" customHeight="1"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  <c r="AC507" s="181"/>
      <c r="AD507" s="181"/>
      <c r="AE507" s="181"/>
      <c r="AF507" s="181"/>
      <c r="AG507" s="181"/>
      <c r="AH507" s="181"/>
      <c r="AI507" s="181"/>
      <c r="AJ507" s="181"/>
    </row>
    <row r="508" spans="7:36" ht="13.5" customHeight="1"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  <c r="AC508" s="181"/>
      <c r="AD508" s="181"/>
      <c r="AE508" s="181"/>
      <c r="AF508" s="181"/>
      <c r="AG508" s="181"/>
      <c r="AH508" s="181"/>
      <c r="AI508" s="181"/>
      <c r="AJ508" s="181"/>
    </row>
    <row r="509" spans="7:36" ht="13.5" customHeight="1"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  <c r="AC509" s="181"/>
      <c r="AD509" s="181"/>
      <c r="AE509" s="181"/>
      <c r="AF509" s="181"/>
      <c r="AG509" s="181"/>
      <c r="AH509" s="181"/>
      <c r="AI509" s="181"/>
      <c r="AJ509" s="181"/>
    </row>
    <row r="510" spans="7:36" ht="13.5" customHeight="1"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  <c r="AC510" s="181"/>
      <c r="AD510" s="181"/>
      <c r="AE510" s="181"/>
      <c r="AF510" s="181"/>
      <c r="AG510" s="181"/>
      <c r="AH510" s="181"/>
      <c r="AI510" s="181"/>
      <c r="AJ510" s="181"/>
    </row>
    <row r="511" spans="7:36" ht="13.5" customHeight="1"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  <c r="AC511" s="181"/>
      <c r="AD511" s="181"/>
      <c r="AE511" s="181"/>
      <c r="AF511" s="181"/>
      <c r="AG511" s="181"/>
      <c r="AH511" s="181"/>
      <c r="AI511" s="181"/>
      <c r="AJ511" s="181"/>
    </row>
    <row r="512" spans="7:36" ht="13.5" customHeight="1"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  <c r="AC512" s="181"/>
      <c r="AD512" s="181"/>
      <c r="AE512" s="181"/>
      <c r="AF512" s="181"/>
      <c r="AG512" s="181"/>
      <c r="AH512" s="181"/>
      <c r="AI512" s="181"/>
      <c r="AJ512" s="181"/>
    </row>
    <row r="513" spans="7:36" ht="13.5" customHeight="1"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  <c r="AC513" s="181"/>
      <c r="AD513" s="181"/>
      <c r="AE513" s="181"/>
      <c r="AF513" s="181"/>
      <c r="AG513" s="181"/>
      <c r="AH513" s="181"/>
      <c r="AI513" s="181"/>
      <c r="AJ513" s="181"/>
    </row>
    <row r="514" spans="7:36" ht="13.5" customHeight="1"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  <c r="AC514" s="181"/>
      <c r="AD514" s="181"/>
      <c r="AE514" s="181"/>
      <c r="AF514" s="181"/>
      <c r="AG514" s="181"/>
      <c r="AH514" s="181"/>
      <c r="AI514" s="181"/>
      <c r="AJ514" s="181"/>
    </row>
    <row r="515" spans="7:36" ht="13.5" customHeight="1"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  <c r="AC515" s="181"/>
      <c r="AD515" s="181"/>
      <c r="AE515" s="181"/>
      <c r="AF515" s="181"/>
      <c r="AG515" s="181"/>
      <c r="AH515" s="181"/>
      <c r="AI515" s="181"/>
      <c r="AJ515" s="181"/>
    </row>
    <row r="516" spans="7:36" ht="13.5" customHeight="1"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  <c r="AC516" s="181"/>
      <c r="AD516" s="181"/>
      <c r="AE516" s="181"/>
      <c r="AF516" s="181"/>
      <c r="AG516" s="181"/>
      <c r="AH516" s="181"/>
      <c r="AI516" s="181"/>
      <c r="AJ516" s="181"/>
    </row>
    <row r="517" spans="7:36" ht="13.5" customHeight="1"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  <c r="AC517" s="181"/>
      <c r="AD517" s="181"/>
      <c r="AE517" s="181"/>
      <c r="AF517" s="181"/>
      <c r="AG517" s="181"/>
      <c r="AH517" s="181"/>
      <c r="AI517" s="181"/>
      <c r="AJ517" s="181"/>
    </row>
    <row r="518" spans="7:36" ht="13.5" customHeight="1"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  <c r="AC518" s="181"/>
      <c r="AD518" s="181"/>
      <c r="AE518" s="181"/>
      <c r="AF518" s="181"/>
      <c r="AG518" s="181"/>
      <c r="AH518" s="181"/>
      <c r="AI518" s="181"/>
      <c r="AJ518" s="181"/>
    </row>
    <row r="519" spans="7:36" ht="13.5" customHeight="1"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  <c r="AC519" s="181"/>
      <c r="AD519" s="181"/>
      <c r="AE519" s="181"/>
      <c r="AF519" s="181"/>
      <c r="AG519" s="181"/>
      <c r="AH519" s="181"/>
      <c r="AI519" s="181"/>
      <c r="AJ519" s="181"/>
    </row>
    <row r="520" spans="7:36" ht="13.5" customHeight="1"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  <c r="AC520" s="181"/>
      <c r="AD520" s="181"/>
      <c r="AE520" s="181"/>
      <c r="AF520" s="181"/>
      <c r="AG520" s="181"/>
      <c r="AH520" s="181"/>
      <c r="AI520" s="181"/>
      <c r="AJ520" s="181"/>
    </row>
    <row r="521" spans="7:36" ht="13.5" customHeight="1"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  <c r="AC521" s="181"/>
      <c r="AD521" s="181"/>
      <c r="AE521" s="181"/>
      <c r="AF521" s="181"/>
      <c r="AG521" s="181"/>
      <c r="AH521" s="181"/>
      <c r="AI521" s="181"/>
      <c r="AJ521" s="181"/>
    </row>
    <row r="522" spans="7:36" ht="13.5" customHeight="1"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  <c r="AC522" s="181"/>
      <c r="AD522" s="181"/>
      <c r="AE522" s="181"/>
      <c r="AF522" s="181"/>
      <c r="AG522" s="181"/>
      <c r="AH522" s="181"/>
      <c r="AI522" s="181"/>
      <c r="AJ522" s="181"/>
    </row>
    <row r="523" spans="7:36" ht="13.5" customHeight="1"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  <c r="AC523" s="181"/>
      <c r="AD523" s="181"/>
      <c r="AE523" s="181"/>
      <c r="AF523" s="181"/>
      <c r="AG523" s="181"/>
      <c r="AH523" s="181"/>
      <c r="AI523" s="181"/>
      <c r="AJ523" s="181"/>
    </row>
    <row r="524" spans="7:36" ht="13.5" customHeight="1"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  <c r="AC524" s="181"/>
      <c r="AD524" s="181"/>
      <c r="AE524" s="181"/>
      <c r="AF524" s="181"/>
      <c r="AG524" s="181"/>
      <c r="AH524" s="181"/>
      <c r="AI524" s="181"/>
      <c r="AJ524" s="181"/>
    </row>
    <row r="525" spans="7:36" ht="13.5" customHeight="1"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  <c r="AC525" s="181"/>
      <c r="AD525" s="181"/>
      <c r="AE525" s="181"/>
      <c r="AF525" s="181"/>
      <c r="AG525" s="181"/>
      <c r="AH525" s="181"/>
      <c r="AI525" s="181"/>
      <c r="AJ525" s="181"/>
    </row>
    <row r="526" spans="7:36" ht="13.5" customHeight="1"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  <c r="AC526" s="181"/>
      <c r="AD526" s="181"/>
      <c r="AE526" s="181"/>
      <c r="AF526" s="181"/>
      <c r="AG526" s="181"/>
      <c r="AH526" s="181"/>
      <c r="AI526" s="181"/>
      <c r="AJ526" s="181"/>
    </row>
    <row r="527" spans="7:36" ht="13.5" customHeight="1"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  <c r="AC527" s="181"/>
      <c r="AD527" s="181"/>
      <c r="AE527" s="181"/>
      <c r="AF527" s="181"/>
      <c r="AG527" s="181"/>
      <c r="AH527" s="181"/>
      <c r="AI527" s="181"/>
      <c r="AJ527" s="181"/>
    </row>
    <row r="528" spans="7:36" ht="13.5" customHeight="1"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  <c r="AC528" s="181"/>
      <c r="AD528" s="181"/>
      <c r="AE528" s="181"/>
      <c r="AF528" s="181"/>
      <c r="AG528" s="181"/>
      <c r="AH528" s="181"/>
      <c r="AI528" s="181"/>
      <c r="AJ528" s="181"/>
    </row>
    <row r="529" spans="7:36" ht="13.5" customHeight="1"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  <c r="AC529" s="181"/>
      <c r="AD529" s="181"/>
      <c r="AE529" s="181"/>
      <c r="AF529" s="181"/>
      <c r="AG529" s="181"/>
      <c r="AH529" s="181"/>
      <c r="AI529" s="181"/>
      <c r="AJ529" s="181"/>
    </row>
    <row r="530" spans="7:36" ht="13.5" customHeight="1"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  <c r="AC530" s="181"/>
      <c r="AD530" s="181"/>
      <c r="AE530" s="181"/>
      <c r="AF530" s="181"/>
      <c r="AG530" s="181"/>
      <c r="AH530" s="181"/>
      <c r="AI530" s="181"/>
      <c r="AJ530" s="181"/>
    </row>
    <row r="531" spans="7:36" ht="13.5" customHeight="1"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  <c r="AC531" s="181"/>
      <c r="AD531" s="181"/>
      <c r="AE531" s="181"/>
      <c r="AF531" s="181"/>
      <c r="AG531" s="181"/>
      <c r="AH531" s="181"/>
      <c r="AI531" s="181"/>
      <c r="AJ531" s="181"/>
    </row>
    <row r="532" spans="7:36" ht="13.5" customHeight="1"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  <c r="AC532" s="181"/>
      <c r="AD532" s="181"/>
      <c r="AE532" s="181"/>
      <c r="AF532" s="181"/>
      <c r="AG532" s="181"/>
      <c r="AH532" s="181"/>
      <c r="AI532" s="181"/>
      <c r="AJ532" s="181"/>
    </row>
    <row r="533" spans="7:36" ht="13.5" customHeight="1"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  <c r="AC533" s="181"/>
      <c r="AD533" s="181"/>
      <c r="AE533" s="181"/>
      <c r="AF533" s="181"/>
      <c r="AG533" s="181"/>
      <c r="AH533" s="181"/>
      <c r="AI533" s="181"/>
      <c r="AJ533" s="181"/>
    </row>
    <row r="534" spans="7:36" ht="13.5" customHeight="1"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  <c r="AC534" s="181"/>
      <c r="AD534" s="181"/>
      <c r="AE534" s="181"/>
      <c r="AF534" s="181"/>
      <c r="AG534" s="181"/>
      <c r="AH534" s="181"/>
      <c r="AI534" s="181"/>
      <c r="AJ534" s="181"/>
    </row>
    <row r="535" spans="7:36" ht="13.5" customHeight="1"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  <c r="AC535" s="181"/>
      <c r="AD535" s="181"/>
      <c r="AE535" s="181"/>
      <c r="AF535" s="181"/>
      <c r="AG535" s="181"/>
      <c r="AH535" s="181"/>
      <c r="AI535" s="181"/>
      <c r="AJ535" s="181"/>
    </row>
    <row r="536" spans="7:36" ht="13.5" customHeight="1"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  <c r="AC536" s="181"/>
      <c r="AD536" s="181"/>
      <c r="AE536" s="181"/>
      <c r="AF536" s="181"/>
      <c r="AG536" s="181"/>
      <c r="AH536" s="181"/>
      <c r="AI536" s="181"/>
      <c r="AJ536" s="181"/>
    </row>
    <row r="537" spans="7:36" ht="13.5" customHeight="1"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  <c r="AC537" s="181"/>
      <c r="AD537" s="181"/>
      <c r="AE537" s="181"/>
      <c r="AF537" s="181"/>
      <c r="AG537" s="181"/>
      <c r="AH537" s="181"/>
      <c r="AI537" s="181"/>
      <c r="AJ537" s="181"/>
    </row>
    <row r="538" spans="7:36" ht="13.5" customHeight="1"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  <c r="AC538" s="181"/>
      <c r="AD538" s="181"/>
      <c r="AE538" s="181"/>
      <c r="AF538" s="181"/>
      <c r="AG538" s="181"/>
      <c r="AH538" s="181"/>
      <c r="AI538" s="181"/>
      <c r="AJ538" s="181"/>
    </row>
    <row r="539" spans="7:36" ht="13.5" customHeight="1"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  <c r="AC539" s="181"/>
      <c r="AD539" s="181"/>
      <c r="AE539" s="181"/>
      <c r="AF539" s="181"/>
      <c r="AG539" s="181"/>
      <c r="AH539" s="181"/>
      <c r="AI539" s="181"/>
      <c r="AJ539" s="181"/>
    </row>
    <row r="540" spans="7:36" ht="13.5" customHeight="1"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  <c r="AC540" s="181"/>
      <c r="AD540" s="181"/>
      <c r="AE540" s="181"/>
      <c r="AF540" s="181"/>
      <c r="AG540" s="181"/>
      <c r="AH540" s="181"/>
      <c r="AI540" s="181"/>
      <c r="AJ540" s="181"/>
    </row>
    <row r="541" spans="7:36" ht="13.5" customHeight="1"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  <c r="AC541" s="181"/>
      <c r="AD541" s="181"/>
      <c r="AE541" s="181"/>
      <c r="AF541" s="181"/>
      <c r="AG541" s="181"/>
      <c r="AH541" s="181"/>
      <c r="AI541" s="181"/>
      <c r="AJ541" s="181"/>
    </row>
    <row r="542" spans="7:36" ht="13.5" customHeight="1"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  <c r="AC542" s="181"/>
      <c r="AD542" s="181"/>
      <c r="AE542" s="181"/>
      <c r="AF542" s="181"/>
      <c r="AG542" s="181"/>
      <c r="AH542" s="181"/>
      <c r="AI542" s="181"/>
      <c r="AJ542" s="181"/>
    </row>
    <row r="543" spans="7:36" ht="13.5" customHeight="1"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  <c r="AC543" s="181"/>
      <c r="AD543" s="181"/>
      <c r="AE543" s="181"/>
      <c r="AF543" s="181"/>
      <c r="AG543" s="181"/>
      <c r="AH543" s="181"/>
      <c r="AI543" s="181"/>
      <c r="AJ543" s="181"/>
    </row>
    <row r="544" spans="7:36" ht="13.5" customHeight="1"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  <c r="AC544" s="181"/>
      <c r="AD544" s="181"/>
      <c r="AE544" s="181"/>
      <c r="AF544" s="181"/>
      <c r="AG544" s="181"/>
      <c r="AH544" s="181"/>
      <c r="AI544" s="181"/>
      <c r="AJ544" s="181"/>
    </row>
    <row r="545" spans="7:36" ht="13.5" customHeight="1"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  <c r="AC545" s="181"/>
      <c r="AD545" s="181"/>
      <c r="AE545" s="181"/>
      <c r="AF545" s="181"/>
      <c r="AG545" s="181"/>
      <c r="AH545" s="181"/>
      <c r="AI545" s="181"/>
      <c r="AJ545" s="181"/>
    </row>
    <row r="546" spans="7:36" ht="13.5" customHeight="1"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  <c r="AC546" s="181"/>
      <c r="AD546" s="181"/>
      <c r="AE546" s="181"/>
      <c r="AF546" s="181"/>
      <c r="AG546" s="181"/>
      <c r="AH546" s="181"/>
      <c r="AI546" s="181"/>
      <c r="AJ546" s="181"/>
    </row>
    <row r="547" spans="7:36" ht="13.5" customHeight="1"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  <c r="AC547" s="181"/>
      <c r="AD547" s="181"/>
      <c r="AE547" s="181"/>
      <c r="AF547" s="181"/>
      <c r="AG547" s="181"/>
      <c r="AH547" s="181"/>
      <c r="AI547" s="181"/>
      <c r="AJ547" s="181"/>
    </row>
    <row r="548" spans="7:36" ht="13.5" customHeight="1"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  <c r="AC548" s="181"/>
      <c r="AD548" s="181"/>
      <c r="AE548" s="181"/>
      <c r="AF548" s="181"/>
      <c r="AG548" s="181"/>
      <c r="AH548" s="181"/>
      <c r="AI548" s="181"/>
      <c r="AJ548" s="181"/>
    </row>
    <row r="549" spans="7:36" ht="13.5" customHeight="1"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  <c r="AC549" s="181"/>
      <c r="AD549" s="181"/>
      <c r="AE549" s="181"/>
      <c r="AF549" s="181"/>
      <c r="AG549" s="181"/>
      <c r="AH549" s="181"/>
      <c r="AI549" s="181"/>
      <c r="AJ549" s="181"/>
    </row>
    <row r="550" spans="7:36" ht="13.5" customHeight="1"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  <c r="AC550" s="181"/>
      <c r="AD550" s="181"/>
      <c r="AE550" s="181"/>
      <c r="AF550" s="181"/>
      <c r="AG550" s="181"/>
      <c r="AH550" s="181"/>
      <c r="AI550" s="181"/>
      <c r="AJ550" s="181"/>
    </row>
    <row r="551" spans="7:36" ht="13.5" customHeight="1"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  <c r="AC551" s="181"/>
      <c r="AD551" s="181"/>
      <c r="AE551" s="181"/>
      <c r="AF551" s="181"/>
      <c r="AG551" s="181"/>
      <c r="AH551" s="181"/>
      <c r="AI551" s="181"/>
      <c r="AJ551" s="181"/>
    </row>
    <row r="552" spans="7:36" ht="13.5" customHeight="1"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  <c r="AC552" s="181"/>
      <c r="AD552" s="181"/>
      <c r="AE552" s="181"/>
      <c r="AF552" s="181"/>
      <c r="AG552" s="181"/>
      <c r="AH552" s="181"/>
      <c r="AI552" s="181"/>
      <c r="AJ552" s="181"/>
    </row>
    <row r="553" spans="7:36" ht="13.5" customHeight="1"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  <c r="AC553" s="181"/>
      <c r="AD553" s="181"/>
      <c r="AE553" s="181"/>
      <c r="AF553" s="181"/>
      <c r="AG553" s="181"/>
      <c r="AH553" s="181"/>
      <c r="AI553" s="181"/>
      <c r="AJ553" s="181"/>
    </row>
    <row r="554" spans="7:36" ht="13.5" customHeight="1"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  <c r="AC554" s="181"/>
      <c r="AD554" s="181"/>
      <c r="AE554" s="181"/>
      <c r="AF554" s="181"/>
      <c r="AG554" s="181"/>
      <c r="AH554" s="181"/>
      <c r="AI554" s="181"/>
      <c r="AJ554" s="181"/>
    </row>
    <row r="555" spans="7:36" ht="13.5" customHeight="1"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  <c r="AC555" s="181"/>
      <c r="AD555" s="181"/>
      <c r="AE555" s="181"/>
      <c r="AF555" s="181"/>
      <c r="AG555" s="181"/>
      <c r="AH555" s="181"/>
      <c r="AI555" s="181"/>
      <c r="AJ555" s="181"/>
    </row>
    <row r="556" spans="7:36" ht="13.5" customHeight="1"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  <c r="AC556" s="181"/>
      <c r="AD556" s="181"/>
      <c r="AE556" s="181"/>
      <c r="AF556" s="181"/>
      <c r="AG556" s="181"/>
      <c r="AH556" s="181"/>
      <c r="AI556" s="181"/>
      <c r="AJ556" s="181"/>
    </row>
    <row r="557" spans="7:36" ht="13.5" customHeight="1"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  <c r="AC557" s="181"/>
      <c r="AD557" s="181"/>
      <c r="AE557" s="181"/>
      <c r="AF557" s="181"/>
      <c r="AG557" s="181"/>
      <c r="AH557" s="181"/>
      <c r="AI557" s="181"/>
      <c r="AJ557" s="181"/>
    </row>
    <row r="558" spans="7:36" ht="13.5" customHeight="1"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  <c r="AC558" s="181"/>
      <c r="AD558" s="181"/>
      <c r="AE558" s="181"/>
      <c r="AF558" s="181"/>
      <c r="AG558" s="181"/>
      <c r="AH558" s="181"/>
      <c r="AI558" s="181"/>
      <c r="AJ558" s="181"/>
    </row>
    <row r="559" spans="7:36" ht="13.5" customHeight="1"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  <c r="AC559" s="181"/>
      <c r="AD559" s="181"/>
      <c r="AE559" s="181"/>
      <c r="AF559" s="181"/>
      <c r="AG559" s="181"/>
      <c r="AH559" s="181"/>
      <c r="AI559" s="181"/>
      <c r="AJ559" s="181"/>
    </row>
    <row r="560" spans="7:36" ht="13.5" customHeight="1"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  <c r="AC560" s="181"/>
      <c r="AD560" s="181"/>
      <c r="AE560" s="181"/>
      <c r="AF560" s="181"/>
      <c r="AG560" s="181"/>
      <c r="AH560" s="181"/>
      <c r="AI560" s="181"/>
      <c r="AJ560" s="181"/>
    </row>
    <row r="561" spans="7:36" ht="13.5" customHeight="1"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  <c r="AC561" s="181"/>
      <c r="AD561" s="181"/>
      <c r="AE561" s="181"/>
      <c r="AF561" s="181"/>
      <c r="AG561" s="181"/>
      <c r="AH561" s="181"/>
      <c r="AI561" s="181"/>
      <c r="AJ561" s="181"/>
    </row>
    <row r="562" spans="7:36" ht="13.5" customHeight="1"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  <c r="AC562" s="181"/>
      <c r="AD562" s="181"/>
      <c r="AE562" s="181"/>
      <c r="AF562" s="181"/>
      <c r="AG562" s="181"/>
      <c r="AH562" s="181"/>
      <c r="AI562" s="181"/>
      <c r="AJ562" s="181"/>
    </row>
    <row r="563" spans="7:36" ht="13.5" customHeight="1"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  <c r="AC563" s="181"/>
      <c r="AD563" s="181"/>
      <c r="AE563" s="181"/>
      <c r="AF563" s="181"/>
      <c r="AG563" s="181"/>
      <c r="AH563" s="181"/>
      <c r="AI563" s="181"/>
      <c r="AJ563" s="181"/>
    </row>
    <row r="564" spans="7:36" ht="13.5" customHeight="1"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  <c r="AC564" s="181"/>
      <c r="AD564" s="181"/>
      <c r="AE564" s="181"/>
      <c r="AF564" s="181"/>
      <c r="AG564" s="181"/>
      <c r="AH564" s="181"/>
      <c r="AI564" s="181"/>
      <c r="AJ564" s="181"/>
    </row>
    <row r="565" spans="7:36" ht="13.5" customHeight="1"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  <c r="AC565" s="181"/>
      <c r="AD565" s="181"/>
      <c r="AE565" s="181"/>
      <c r="AF565" s="181"/>
      <c r="AG565" s="181"/>
      <c r="AH565" s="181"/>
      <c r="AI565" s="181"/>
      <c r="AJ565" s="181"/>
    </row>
    <row r="566" spans="7:36" ht="13.5" customHeight="1"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  <c r="AC566" s="181"/>
      <c r="AD566" s="181"/>
      <c r="AE566" s="181"/>
      <c r="AF566" s="181"/>
      <c r="AG566" s="181"/>
      <c r="AH566" s="181"/>
      <c r="AI566" s="181"/>
      <c r="AJ566" s="181"/>
    </row>
    <row r="567" spans="7:36" ht="13.5" customHeight="1"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  <c r="AC567" s="181"/>
      <c r="AD567" s="181"/>
      <c r="AE567" s="181"/>
      <c r="AF567" s="181"/>
      <c r="AG567" s="181"/>
      <c r="AH567" s="181"/>
      <c r="AI567" s="181"/>
      <c r="AJ567" s="181"/>
    </row>
    <row r="568" spans="7:36" ht="13.5" customHeight="1"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  <c r="AC568" s="181"/>
      <c r="AD568" s="181"/>
      <c r="AE568" s="181"/>
      <c r="AF568" s="181"/>
      <c r="AG568" s="181"/>
      <c r="AH568" s="181"/>
      <c r="AI568" s="181"/>
      <c r="AJ568" s="181"/>
    </row>
    <row r="569" spans="7:36" ht="13.5" customHeight="1"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  <c r="AC569" s="181"/>
      <c r="AD569" s="181"/>
      <c r="AE569" s="181"/>
      <c r="AF569" s="181"/>
      <c r="AG569" s="181"/>
      <c r="AH569" s="181"/>
      <c r="AI569" s="181"/>
      <c r="AJ569" s="181"/>
    </row>
    <row r="570" spans="7:36" ht="13.5" customHeight="1"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  <c r="AC570" s="181"/>
      <c r="AD570" s="181"/>
      <c r="AE570" s="181"/>
      <c r="AF570" s="181"/>
      <c r="AG570" s="181"/>
      <c r="AH570" s="181"/>
      <c r="AI570" s="181"/>
      <c r="AJ570" s="181"/>
    </row>
    <row r="571" spans="7:36" ht="13.5" customHeight="1"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  <c r="AC571" s="181"/>
      <c r="AD571" s="181"/>
      <c r="AE571" s="181"/>
      <c r="AF571" s="181"/>
      <c r="AG571" s="181"/>
      <c r="AH571" s="181"/>
      <c r="AI571" s="181"/>
      <c r="AJ571" s="181"/>
    </row>
    <row r="572" spans="7:36" ht="13.5" customHeight="1"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  <c r="AC572" s="181"/>
      <c r="AD572" s="181"/>
      <c r="AE572" s="181"/>
      <c r="AF572" s="181"/>
      <c r="AG572" s="181"/>
      <c r="AH572" s="181"/>
      <c r="AI572" s="181"/>
      <c r="AJ572" s="181"/>
    </row>
    <row r="573" spans="7:36" ht="13.5" customHeight="1"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  <c r="AC573" s="181"/>
      <c r="AD573" s="181"/>
      <c r="AE573" s="181"/>
      <c r="AF573" s="181"/>
      <c r="AG573" s="181"/>
      <c r="AH573" s="181"/>
      <c r="AI573" s="181"/>
      <c r="AJ573" s="181"/>
    </row>
    <row r="574" spans="7:36" ht="13.5" customHeight="1"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  <c r="AC574" s="181"/>
      <c r="AD574" s="181"/>
      <c r="AE574" s="181"/>
      <c r="AF574" s="181"/>
      <c r="AG574" s="181"/>
      <c r="AH574" s="181"/>
      <c r="AI574" s="181"/>
      <c r="AJ574" s="181"/>
    </row>
    <row r="575" spans="7:36" ht="13.5" customHeight="1"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  <c r="AC575" s="181"/>
      <c r="AD575" s="181"/>
      <c r="AE575" s="181"/>
      <c r="AF575" s="181"/>
      <c r="AG575" s="181"/>
      <c r="AH575" s="181"/>
      <c r="AI575" s="181"/>
      <c r="AJ575" s="181"/>
    </row>
    <row r="576" spans="7:36" ht="13.5" customHeight="1"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  <c r="AC576" s="181"/>
      <c r="AD576" s="181"/>
      <c r="AE576" s="181"/>
      <c r="AF576" s="181"/>
      <c r="AG576" s="181"/>
      <c r="AH576" s="181"/>
      <c r="AI576" s="181"/>
      <c r="AJ576" s="181"/>
    </row>
    <row r="577" spans="7:36" ht="13.5" customHeight="1"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  <c r="AC577" s="181"/>
      <c r="AD577" s="181"/>
      <c r="AE577" s="181"/>
      <c r="AF577" s="181"/>
      <c r="AG577" s="181"/>
      <c r="AH577" s="181"/>
      <c r="AI577" s="181"/>
      <c r="AJ577" s="181"/>
    </row>
    <row r="578" spans="7:36" ht="13.5" customHeight="1"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  <c r="AC578" s="181"/>
      <c r="AD578" s="181"/>
      <c r="AE578" s="181"/>
      <c r="AF578" s="181"/>
      <c r="AG578" s="181"/>
      <c r="AH578" s="181"/>
      <c r="AI578" s="181"/>
      <c r="AJ578" s="181"/>
    </row>
    <row r="579" spans="7:36" ht="13.5" customHeight="1"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  <c r="AC579" s="181"/>
      <c r="AD579" s="181"/>
      <c r="AE579" s="181"/>
      <c r="AF579" s="181"/>
      <c r="AG579" s="181"/>
      <c r="AH579" s="181"/>
      <c r="AI579" s="181"/>
      <c r="AJ579" s="181"/>
    </row>
    <row r="580" spans="7:36" ht="13.5" customHeight="1"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  <c r="AC580" s="181"/>
      <c r="AD580" s="181"/>
      <c r="AE580" s="181"/>
      <c r="AF580" s="181"/>
      <c r="AG580" s="181"/>
      <c r="AH580" s="181"/>
      <c r="AI580" s="181"/>
      <c r="AJ580" s="181"/>
    </row>
    <row r="581" spans="7:36" ht="13.5" customHeight="1"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  <c r="AC581" s="181"/>
      <c r="AD581" s="181"/>
      <c r="AE581" s="181"/>
      <c r="AF581" s="181"/>
      <c r="AG581" s="181"/>
      <c r="AH581" s="181"/>
      <c r="AI581" s="181"/>
      <c r="AJ581" s="181"/>
    </row>
    <row r="582" spans="7:36" ht="13.5" customHeight="1"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  <c r="AC582" s="181"/>
      <c r="AD582" s="181"/>
      <c r="AE582" s="181"/>
      <c r="AF582" s="181"/>
      <c r="AG582" s="181"/>
      <c r="AH582" s="181"/>
      <c r="AI582" s="181"/>
      <c r="AJ582" s="181"/>
    </row>
    <row r="583" spans="7:36" ht="13.5" customHeight="1"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  <c r="AC583" s="181"/>
      <c r="AD583" s="181"/>
      <c r="AE583" s="181"/>
      <c r="AF583" s="181"/>
      <c r="AG583" s="181"/>
      <c r="AH583" s="181"/>
      <c r="AI583" s="181"/>
      <c r="AJ583" s="181"/>
    </row>
    <row r="584" spans="7:36" ht="13.5" customHeight="1"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  <c r="AC584" s="181"/>
      <c r="AD584" s="181"/>
      <c r="AE584" s="181"/>
      <c r="AF584" s="181"/>
      <c r="AG584" s="181"/>
      <c r="AH584" s="181"/>
      <c r="AI584" s="181"/>
      <c r="AJ584" s="181"/>
    </row>
    <row r="585" spans="7:36" ht="13.5" customHeight="1"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  <c r="AC585" s="181"/>
      <c r="AD585" s="181"/>
      <c r="AE585" s="181"/>
      <c r="AF585" s="181"/>
      <c r="AG585" s="181"/>
      <c r="AH585" s="181"/>
      <c r="AI585" s="181"/>
      <c r="AJ585" s="181"/>
    </row>
    <row r="586" spans="7:36" ht="13.5" customHeight="1"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  <c r="AC586" s="181"/>
      <c r="AD586" s="181"/>
      <c r="AE586" s="181"/>
      <c r="AF586" s="181"/>
      <c r="AG586" s="181"/>
      <c r="AH586" s="181"/>
      <c r="AI586" s="181"/>
      <c r="AJ586" s="181"/>
    </row>
    <row r="587" spans="7:36" ht="13.5" customHeight="1"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  <c r="AC587" s="181"/>
      <c r="AD587" s="181"/>
      <c r="AE587" s="181"/>
      <c r="AF587" s="181"/>
      <c r="AG587" s="181"/>
      <c r="AH587" s="181"/>
      <c r="AI587" s="181"/>
      <c r="AJ587" s="181"/>
    </row>
    <row r="588" spans="7:36" ht="13.5" customHeight="1"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  <c r="AC588" s="181"/>
      <c r="AD588" s="181"/>
      <c r="AE588" s="181"/>
      <c r="AF588" s="181"/>
      <c r="AG588" s="181"/>
      <c r="AH588" s="181"/>
      <c r="AI588" s="181"/>
      <c r="AJ588" s="181"/>
    </row>
    <row r="589" spans="7:36" ht="13.5" customHeight="1"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  <c r="AC589" s="181"/>
      <c r="AD589" s="181"/>
      <c r="AE589" s="181"/>
      <c r="AF589" s="181"/>
      <c r="AG589" s="181"/>
      <c r="AH589" s="181"/>
      <c r="AI589" s="181"/>
      <c r="AJ589" s="181"/>
    </row>
    <row r="590" spans="7:36" ht="13.5" customHeight="1"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  <c r="AC590" s="181"/>
      <c r="AD590" s="181"/>
      <c r="AE590" s="181"/>
      <c r="AF590" s="181"/>
      <c r="AG590" s="181"/>
      <c r="AH590" s="181"/>
      <c r="AI590" s="181"/>
      <c r="AJ590" s="181"/>
    </row>
    <row r="591" spans="7:36" ht="13.5" customHeight="1"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  <c r="AC591" s="181"/>
      <c r="AD591" s="181"/>
      <c r="AE591" s="181"/>
      <c r="AF591" s="181"/>
      <c r="AG591" s="181"/>
      <c r="AH591" s="181"/>
      <c r="AI591" s="181"/>
      <c r="AJ591" s="181"/>
    </row>
    <row r="592" spans="7:36" ht="13.5" customHeight="1"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  <c r="AC592" s="181"/>
      <c r="AD592" s="181"/>
      <c r="AE592" s="181"/>
      <c r="AF592" s="181"/>
      <c r="AG592" s="181"/>
      <c r="AH592" s="181"/>
      <c r="AI592" s="181"/>
      <c r="AJ592" s="181"/>
    </row>
    <row r="593" spans="7:36" ht="13.5" customHeight="1"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  <c r="AC593" s="181"/>
      <c r="AD593" s="181"/>
      <c r="AE593" s="181"/>
      <c r="AF593" s="181"/>
      <c r="AG593" s="181"/>
      <c r="AH593" s="181"/>
      <c r="AI593" s="181"/>
      <c r="AJ593" s="181"/>
    </row>
    <row r="594" spans="7:36" ht="13.5" customHeight="1"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  <c r="AC594" s="181"/>
      <c r="AD594" s="181"/>
      <c r="AE594" s="181"/>
      <c r="AF594" s="181"/>
      <c r="AG594" s="181"/>
      <c r="AH594" s="181"/>
      <c r="AI594" s="181"/>
      <c r="AJ594" s="181"/>
    </row>
    <row r="595" spans="7:36" ht="13.5" customHeight="1"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  <c r="AC595" s="181"/>
      <c r="AD595" s="181"/>
      <c r="AE595" s="181"/>
      <c r="AF595" s="181"/>
      <c r="AG595" s="181"/>
      <c r="AH595" s="181"/>
      <c r="AI595" s="181"/>
      <c r="AJ595" s="181"/>
    </row>
    <row r="596" spans="7:36" ht="13.5" customHeight="1"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  <c r="AC596" s="181"/>
      <c r="AD596" s="181"/>
      <c r="AE596" s="181"/>
      <c r="AF596" s="181"/>
      <c r="AG596" s="181"/>
      <c r="AH596" s="181"/>
      <c r="AI596" s="181"/>
      <c r="AJ596" s="181"/>
    </row>
    <row r="597" spans="7:36" ht="13.5" customHeight="1"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  <c r="AC597" s="181"/>
      <c r="AD597" s="181"/>
      <c r="AE597" s="181"/>
      <c r="AF597" s="181"/>
      <c r="AG597" s="181"/>
      <c r="AH597" s="181"/>
      <c r="AI597" s="181"/>
      <c r="AJ597" s="181"/>
    </row>
    <row r="598" spans="7:36" ht="13.5" customHeight="1"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  <c r="AC598" s="181"/>
      <c r="AD598" s="181"/>
      <c r="AE598" s="181"/>
      <c r="AF598" s="181"/>
      <c r="AG598" s="181"/>
      <c r="AH598" s="181"/>
      <c r="AI598" s="181"/>
      <c r="AJ598" s="181"/>
    </row>
    <row r="599" spans="7:36" ht="13.5" customHeight="1"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  <c r="AC599" s="181"/>
      <c r="AD599" s="181"/>
      <c r="AE599" s="181"/>
      <c r="AF599" s="181"/>
      <c r="AG599" s="181"/>
      <c r="AH599" s="181"/>
      <c r="AI599" s="181"/>
      <c r="AJ599" s="181"/>
    </row>
    <row r="600" spans="7:36" ht="13.5" customHeight="1"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  <c r="AC600" s="181"/>
      <c r="AD600" s="181"/>
      <c r="AE600" s="181"/>
      <c r="AF600" s="181"/>
      <c r="AG600" s="181"/>
      <c r="AH600" s="181"/>
      <c r="AI600" s="181"/>
      <c r="AJ600" s="181"/>
    </row>
    <row r="601" spans="7:36" ht="13.5" customHeight="1"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  <c r="AC601" s="181"/>
      <c r="AD601" s="181"/>
      <c r="AE601" s="181"/>
      <c r="AF601" s="181"/>
      <c r="AG601" s="181"/>
      <c r="AH601" s="181"/>
      <c r="AI601" s="181"/>
      <c r="AJ601" s="181"/>
    </row>
    <row r="602" spans="7:36" ht="13.5" customHeight="1"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  <c r="AC602" s="181"/>
      <c r="AD602" s="181"/>
      <c r="AE602" s="181"/>
      <c r="AF602" s="181"/>
      <c r="AG602" s="181"/>
      <c r="AH602" s="181"/>
      <c r="AI602" s="181"/>
      <c r="AJ602" s="181"/>
    </row>
    <row r="603" spans="7:36" ht="13.5" customHeight="1"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  <c r="AC603" s="181"/>
      <c r="AD603" s="181"/>
      <c r="AE603" s="181"/>
      <c r="AF603" s="181"/>
      <c r="AG603" s="181"/>
      <c r="AH603" s="181"/>
      <c r="AI603" s="181"/>
      <c r="AJ603" s="181"/>
    </row>
    <row r="604" spans="7:36" ht="13.5" customHeight="1"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  <c r="AC604" s="181"/>
      <c r="AD604" s="181"/>
      <c r="AE604" s="181"/>
      <c r="AF604" s="181"/>
      <c r="AG604" s="181"/>
      <c r="AH604" s="181"/>
      <c r="AI604" s="181"/>
      <c r="AJ604" s="181"/>
    </row>
    <row r="605" spans="7:36" ht="13.5" customHeight="1"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  <c r="AC605" s="181"/>
      <c r="AD605" s="181"/>
      <c r="AE605" s="181"/>
      <c r="AF605" s="181"/>
      <c r="AG605" s="181"/>
      <c r="AH605" s="181"/>
      <c r="AI605" s="181"/>
      <c r="AJ605" s="181"/>
    </row>
    <row r="606" spans="7:36" ht="13.5" customHeight="1"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  <c r="AC606" s="181"/>
      <c r="AD606" s="181"/>
      <c r="AE606" s="181"/>
      <c r="AF606" s="181"/>
      <c r="AG606" s="181"/>
      <c r="AH606" s="181"/>
      <c r="AI606" s="181"/>
      <c r="AJ606" s="181"/>
    </row>
    <row r="607" spans="7:36" ht="13.5" customHeight="1"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  <c r="AC607" s="181"/>
      <c r="AD607" s="181"/>
      <c r="AE607" s="181"/>
      <c r="AF607" s="181"/>
      <c r="AG607" s="181"/>
      <c r="AH607" s="181"/>
      <c r="AI607" s="181"/>
      <c r="AJ607" s="181"/>
    </row>
    <row r="608" spans="7:36" ht="13.5" customHeight="1"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  <c r="AC608" s="181"/>
      <c r="AD608" s="181"/>
      <c r="AE608" s="181"/>
      <c r="AF608" s="181"/>
      <c r="AG608" s="181"/>
      <c r="AH608" s="181"/>
      <c r="AI608" s="181"/>
      <c r="AJ608" s="181"/>
    </row>
    <row r="609" spans="7:36" ht="13.5" customHeight="1"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  <c r="AC609" s="181"/>
      <c r="AD609" s="181"/>
      <c r="AE609" s="181"/>
      <c r="AF609" s="181"/>
      <c r="AG609" s="181"/>
      <c r="AH609" s="181"/>
      <c r="AI609" s="181"/>
      <c r="AJ609" s="181"/>
    </row>
    <row r="610" spans="7:36" ht="13.5" customHeight="1"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  <c r="AC610" s="181"/>
      <c r="AD610" s="181"/>
      <c r="AE610" s="181"/>
      <c r="AF610" s="181"/>
      <c r="AG610" s="181"/>
      <c r="AH610" s="181"/>
      <c r="AI610" s="181"/>
      <c r="AJ610" s="181"/>
    </row>
    <row r="611" spans="7:36" ht="13.5" customHeight="1"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  <c r="AC611" s="181"/>
      <c r="AD611" s="181"/>
      <c r="AE611" s="181"/>
      <c r="AF611" s="181"/>
      <c r="AG611" s="181"/>
      <c r="AH611" s="181"/>
      <c r="AI611" s="181"/>
      <c r="AJ611" s="181"/>
    </row>
    <row r="612" spans="7:36" ht="13.5" customHeight="1"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  <c r="AC612" s="181"/>
      <c r="AD612" s="181"/>
      <c r="AE612" s="181"/>
      <c r="AF612" s="181"/>
      <c r="AG612" s="181"/>
      <c r="AH612" s="181"/>
      <c r="AI612" s="181"/>
      <c r="AJ612" s="181"/>
    </row>
    <row r="613" spans="7:36" ht="13.5" customHeight="1"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  <c r="AC613" s="181"/>
      <c r="AD613" s="181"/>
      <c r="AE613" s="181"/>
      <c r="AF613" s="181"/>
      <c r="AG613" s="181"/>
      <c r="AH613" s="181"/>
      <c r="AI613" s="181"/>
      <c r="AJ613" s="181"/>
    </row>
    <row r="614" spans="7:36" ht="13.5" customHeight="1"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  <c r="AC614" s="181"/>
      <c r="AD614" s="181"/>
      <c r="AE614" s="181"/>
      <c r="AF614" s="181"/>
      <c r="AG614" s="181"/>
      <c r="AH614" s="181"/>
      <c r="AI614" s="181"/>
      <c r="AJ614" s="181"/>
    </row>
    <row r="615" spans="7:36" ht="13.5" customHeight="1"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  <c r="AC615" s="181"/>
      <c r="AD615" s="181"/>
      <c r="AE615" s="181"/>
      <c r="AF615" s="181"/>
      <c r="AG615" s="181"/>
      <c r="AH615" s="181"/>
      <c r="AI615" s="181"/>
      <c r="AJ615" s="181"/>
    </row>
    <row r="616" spans="7:36" ht="13.5" customHeight="1"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  <c r="AC616" s="181"/>
      <c r="AD616" s="181"/>
      <c r="AE616" s="181"/>
      <c r="AF616" s="181"/>
      <c r="AG616" s="181"/>
      <c r="AH616" s="181"/>
      <c r="AI616" s="181"/>
      <c r="AJ616" s="181"/>
    </row>
    <row r="617" spans="7:36" ht="13.5" customHeight="1"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  <c r="AC617" s="181"/>
      <c r="AD617" s="181"/>
      <c r="AE617" s="181"/>
      <c r="AF617" s="181"/>
      <c r="AG617" s="181"/>
      <c r="AH617" s="181"/>
      <c r="AI617" s="181"/>
      <c r="AJ617" s="181"/>
    </row>
    <row r="618" spans="7:36" ht="13.5" customHeight="1"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  <c r="AC618" s="181"/>
      <c r="AD618" s="181"/>
      <c r="AE618" s="181"/>
      <c r="AF618" s="181"/>
      <c r="AG618" s="181"/>
      <c r="AH618" s="181"/>
      <c r="AI618" s="181"/>
      <c r="AJ618" s="181"/>
    </row>
    <row r="619" spans="7:36" ht="13.5" customHeight="1"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  <c r="AC619" s="181"/>
      <c r="AD619" s="181"/>
      <c r="AE619" s="181"/>
      <c r="AF619" s="181"/>
      <c r="AG619" s="181"/>
      <c r="AH619" s="181"/>
      <c r="AI619" s="181"/>
      <c r="AJ619" s="181"/>
    </row>
    <row r="620" spans="7:36" ht="13.5" customHeight="1"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  <c r="AC620" s="181"/>
      <c r="AD620" s="181"/>
      <c r="AE620" s="181"/>
      <c r="AF620" s="181"/>
      <c r="AG620" s="181"/>
      <c r="AH620" s="181"/>
      <c r="AI620" s="181"/>
      <c r="AJ620" s="181"/>
    </row>
    <row r="621" spans="7:36" ht="13.5" customHeight="1"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  <c r="AC621" s="181"/>
      <c r="AD621" s="181"/>
      <c r="AE621" s="181"/>
      <c r="AF621" s="181"/>
      <c r="AG621" s="181"/>
      <c r="AH621" s="181"/>
      <c r="AI621" s="181"/>
      <c r="AJ621" s="181"/>
    </row>
    <row r="622" spans="7:36" ht="13.5" customHeight="1"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  <c r="AC622" s="181"/>
      <c r="AD622" s="181"/>
      <c r="AE622" s="181"/>
      <c r="AF622" s="181"/>
      <c r="AG622" s="181"/>
      <c r="AH622" s="181"/>
      <c r="AI622" s="181"/>
      <c r="AJ622" s="181"/>
    </row>
    <row r="623" spans="7:36" ht="13.5" customHeight="1"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  <c r="AC623" s="181"/>
      <c r="AD623" s="181"/>
      <c r="AE623" s="181"/>
      <c r="AF623" s="181"/>
      <c r="AG623" s="181"/>
      <c r="AH623" s="181"/>
      <c r="AI623" s="181"/>
      <c r="AJ623" s="181"/>
    </row>
    <row r="624" spans="7:36" ht="13.5" customHeight="1"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  <c r="AC624" s="181"/>
      <c r="AD624" s="181"/>
      <c r="AE624" s="181"/>
      <c r="AF624" s="181"/>
      <c r="AG624" s="181"/>
      <c r="AH624" s="181"/>
      <c r="AI624" s="181"/>
      <c r="AJ624" s="181"/>
    </row>
    <row r="625" spans="7:36" ht="13.5" customHeight="1"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  <c r="AC625" s="181"/>
      <c r="AD625" s="181"/>
      <c r="AE625" s="181"/>
      <c r="AF625" s="181"/>
      <c r="AG625" s="181"/>
      <c r="AH625" s="181"/>
      <c r="AI625" s="181"/>
      <c r="AJ625" s="181"/>
    </row>
    <row r="626" spans="7:36" ht="13.5" customHeight="1"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  <c r="AC626" s="181"/>
      <c r="AD626" s="181"/>
      <c r="AE626" s="181"/>
      <c r="AF626" s="181"/>
      <c r="AG626" s="181"/>
      <c r="AH626" s="181"/>
      <c r="AI626" s="181"/>
      <c r="AJ626" s="181"/>
    </row>
    <row r="627" spans="7:36" ht="13.5" customHeight="1"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  <c r="AC627" s="181"/>
      <c r="AD627" s="181"/>
      <c r="AE627" s="181"/>
      <c r="AF627" s="181"/>
      <c r="AG627" s="181"/>
      <c r="AH627" s="181"/>
      <c r="AI627" s="181"/>
      <c r="AJ627" s="181"/>
    </row>
    <row r="628" spans="7:36" ht="13.5" customHeight="1"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  <c r="AC628" s="181"/>
      <c r="AD628" s="181"/>
      <c r="AE628" s="181"/>
      <c r="AF628" s="181"/>
      <c r="AG628" s="181"/>
      <c r="AH628" s="181"/>
      <c r="AI628" s="181"/>
      <c r="AJ628" s="181"/>
    </row>
    <row r="629" spans="7:36" ht="13.5" customHeight="1"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  <c r="AC629" s="181"/>
      <c r="AD629" s="181"/>
      <c r="AE629" s="181"/>
      <c r="AF629" s="181"/>
      <c r="AG629" s="181"/>
      <c r="AH629" s="181"/>
      <c r="AI629" s="181"/>
      <c r="AJ629" s="181"/>
    </row>
    <row r="630" spans="7:36" ht="13.5" customHeight="1"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  <c r="AC630" s="181"/>
      <c r="AD630" s="181"/>
      <c r="AE630" s="181"/>
      <c r="AF630" s="181"/>
      <c r="AG630" s="181"/>
      <c r="AH630" s="181"/>
      <c r="AI630" s="181"/>
      <c r="AJ630" s="181"/>
    </row>
    <row r="631" spans="7:36" ht="13.5" customHeight="1"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  <c r="AC631" s="181"/>
      <c r="AD631" s="181"/>
      <c r="AE631" s="181"/>
      <c r="AF631" s="181"/>
      <c r="AG631" s="181"/>
      <c r="AH631" s="181"/>
      <c r="AI631" s="181"/>
      <c r="AJ631" s="181"/>
    </row>
    <row r="632" spans="7:36" ht="13.5" customHeight="1"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  <c r="AC632" s="181"/>
      <c r="AD632" s="181"/>
      <c r="AE632" s="181"/>
      <c r="AF632" s="181"/>
      <c r="AG632" s="181"/>
      <c r="AH632" s="181"/>
      <c r="AI632" s="181"/>
      <c r="AJ632" s="181"/>
    </row>
    <row r="633" spans="7:36" ht="13.5" customHeight="1"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  <c r="AC633" s="181"/>
      <c r="AD633" s="181"/>
      <c r="AE633" s="181"/>
      <c r="AF633" s="181"/>
      <c r="AG633" s="181"/>
      <c r="AH633" s="181"/>
      <c r="AI633" s="181"/>
      <c r="AJ633" s="181"/>
    </row>
    <row r="634" spans="7:36" ht="13.5" customHeight="1"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  <c r="AC634" s="181"/>
      <c r="AD634" s="181"/>
      <c r="AE634" s="181"/>
      <c r="AF634" s="181"/>
      <c r="AG634" s="181"/>
      <c r="AH634" s="181"/>
      <c r="AI634" s="181"/>
      <c r="AJ634" s="181"/>
    </row>
    <row r="635" spans="7:36" ht="13.5" customHeight="1"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  <c r="AC635" s="181"/>
      <c r="AD635" s="181"/>
      <c r="AE635" s="181"/>
      <c r="AF635" s="181"/>
      <c r="AG635" s="181"/>
      <c r="AH635" s="181"/>
      <c r="AI635" s="181"/>
      <c r="AJ635" s="181"/>
    </row>
    <row r="636" spans="7:36" ht="13.5" customHeight="1"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  <c r="AC636" s="181"/>
      <c r="AD636" s="181"/>
      <c r="AE636" s="181"/>
      <c r="AF636" s="181"/>
      <c r="AG636" s="181"/>
      <c r="AH636" s="181"/>
      <c r="AI636" s="181"/>
      <c r="AJ636" s="181"/>
    </row>
    <row r="637" spans="7:36" ht="13.5" customHeight="1"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  <c r="AC637" s="181"/>
      <c r="AD637" s="181"/>
      <c r="AE637" s="181"/>
      <c r="AF637" s="181"/>
      <c r="AG637" s="181"/>
      <c r="AH637" s="181"/>
      <c r="AI637" s="181"/>
      <c r="AJ637" s="181"/>
    </row>
    <row r="638" spans="7:36" ht="13.5" customHeight="1"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  <c r="AC638" s="181"/>
      <c r="AD638" s="181"/>
      <c r="AE638" s="181"/>
      <c r="AF638" s="181"/>
      <c r="AG638" s="181"/>
      <c r="AH638" s="181"/>
      <c r="AI638" s="181"/>
      <c r="AJ638" s="181"/>
    </row>
    <row r="639" spans="7:36" ht="13.5" customHeight="1"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  <c r="AC639" s="181"/>
      <c r="AD639" s="181"/>
      <c r="AE639" s="181"/>
      <c r="AF639" s="181"/>
      <c r="AG639" s="181"/>
      <c r="AH639" s="181"/>
      <c r="AI639" s="181"/>
      <c r="AJ639" s="181"/>
    </row>
    <row r="640" spans="7:36" ht="13.5" customHeight="1"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  <c r="AC640" s="181"/>
      <c r="AD640" s="181"/>
      <c r="AE640" s="181"/>
      <c r="AF640" s="181"/>
      <c r="AG640" s="181"/>
      <c r="AH640" s="181"/>
      <c r="AI640" s="181"/>
      <c r="AJ640" s="181"/>
    </row>
    <row r="641" spans="7:36" ht="13.5" customHeight="1"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  <c r="AC641" s="181"/>
      <c r="AD641" s="181"/>
      <c r="AE641" s="181"/>
      <c r="AF641" s="181"/>
      <c r="AG641" s="181"/>
      <c r="AH641" s="181"/>
      <c r="AI641" s="181"/>
      <c r="AJ641" s="181"/>
    </row>
    <row r="642" spans="7:36" ht="13.5" customHeight="1"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  <c r="AC642" s="181"/>
      <c r="AD642" s="181"/>
      <c r="AE642" s="181"/>
      <c r="AF642" s="181"/>
      <c r="AG642" s="181"/>
      <c r="AH642" s="181"/>
      <c r="AI642" s="181"/>
      <c r="AJ642" s="181"/>
    </row>
    <row r="643" spans="7:36" ht="13.5" customHeight="1"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  <c r="AC643" s="181"/>
      <c r="AD643" s="181"/>
      <c r="AE643" s="181"/>
      <c r="AF643" s="181"/>
      <c r="AG643" s="181"/>
      <c r="AH643" s="181"/>
      <c r="AI643" s="181"/>
      <c r="AJ643" s="181"/>
    </row>
    <row r="644" spans="7:36" ht="13.5" customHeight="1"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  <c r="AC644" s="181"/>
      <c r="AD644" s="181"/>
      <c r="AE644" s="181"/>
      <c r="AF644" s="181"/>
      <c r="AG644" s="181"/>
      <c r="AH644" s="181"/>
      <c r="AI644" s="181"/>
      <c r="AJ644" s="181"/>
    </row>
    <row r="645" spans="7:36" ht="13.5" customHeight="1"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  <c r="AC645" s="181"/>
      <c r="AD645" s="181"/>
      <c r="AE645" s="181"/>
      <c r="AF645" s="181"/>
      <c r="AG645" s="181"/>
      <c r="AH645" s="181"/>
      <c r="AI645" s="181"/>
      <c r="AJ645" s="181"/>
    </row>
    <row r="646" spans="7:36" ht="13.5" customHeight="1"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  <c r="AC646" s="181"/>
      <c r="AD646" s="181"/>
      <c r="AE646" s="181"/>
      <c r="AF646" s="181"/>
      <c r="AG646" s="181"/>
      <c r="AH646" s="181"/>
      <c r="AI646" s="181"/>
      <c r="AJ646" s="181"/>
    </row>
    <row r="647" spans="7:36" ht="13.5" customHeight="1"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  <c r="AC647" s="181"/>
      <c r="AD647" s="181"/>
      <c r="AE647" s="181"/>
      <c r="AF647" s="181"/>
      <c r="AG647" s="181"/>
      <c r="AH647" s="181"/>
      <c r="AI647" s="181"/>
      <c r="AJ647" s="181"/>
    </row>
    <row r="648" spans="7:36" ht="13.5" customHeight="1"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  <c r="AC648" s="181"/>
      <c r="AD648" s="181"/>
      <c r="AE648" s="181"/>
      <c r="AF648" s="181"/>
      <c r="AG648" s="181"/>
      <c r="AH648" s="181"/>
      <c r="AI648" s="181"/>
      <c r="AJ648" s="181"/>
    </row>
    <row r="649" spans="7:36" ht="13.5" customHeight="1"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  <c r="AC649" s="181"/>
      <c r="AD649" s="181"/>
      <c r="AE649" s="181"/>
      <c r="AF649" s="181"/>
      <c r="AG649" s="181"/>
      <c r="AH649" s="181"/>
      <c r="AI649" s="181"/>
      <c r="AJ649" s="181"/>
    </row>
    <row r="650" spans="7:36" ht="13.5" customHeight="1"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  <c r="AC650" s="181"/>
      <c r="AD650" s="181"/>
      <c r="AE650" s="181"/>
      <c r="AF650" s="181"/>
      <c r="AG650" s="181"/>
      <c r="AH650" s="181"/>
      <c r="AI650" s="181"/>
      <c r="AJ650" s="181"/>
    </row>
    <row r="651" spans="7:36" ht="13.5" customHeight="1"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  <c r="AC651" s="181"/>
      <c r="AD651" s="181"/>
      <c r="AE651" s="181"/>
      <c r="AF651" s="181"/>
      <c r="AG651" s="181"/>
      <c r="AH651" s="181"/>
      <c r="AI651" s="181"/>
      <c r="AJ651" s="181"/>
    </row>
    <row r="652" spans="7:36" ht="13.5" customHeight="1"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  <c r="AC652" s="181"/>
      <c r="AD652" s="181"/>
      <c r="AE652" s="181"/>
      <c r="AF652" s="181"/>
      <c r="AG652" s="181"/>
      <c r="AH652" s="181"/>
      <c r="AI652" s="181"/>
      <c r="AJ652" s="181"/>
    </row>
    <row r="653" spans="7:36" ht="13.5" customHeight="1"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  <c r="AC653" s="181"/>
      <c r="AD653" s="181"/>
      <c r="AE653" s="181"/>
      <c r="AF653" s="181"/>
      <c r="AG653" s="181"/>
      <c r="AH653" s="181"/>
      <c r="AI653" s="181"/>
      <c r="AJ653" s="181"/>
    </row>
    <row r="654" spans="7:36" ht="13.5" customHeight="1"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  <c r="AC654" s="181"/>
      <c r="AD654" s="181"/>
      <c r="AE654" s="181"/>
      <c r="AF654" s="181"/>
      <c r="AG654" s="181"/>
      <c r="AH654" s="181"/>
      <c r="AI654" s="181"/>
      <c r="AJ654" s="181"/>
    </row>
    <row r="655" spans="7:36" ht="13.5" customHeight="1"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  <c r="AC655" s="181"/>
      <c r="AD655" s="181"/>
      <c r="AE655" s="181"/>
      <c r="AF655" s="181"/>
      <c r="AG655" s="181"/>
      <c r="AH655" s="181"/>
      <c r="AI655" s="181"/>
      <c r="AJ655" s="181"/>
    </row>
    <row r="656" spans="7:36" ht="13.5" customHeight="1"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  <c r="AC656" s="181"/>
      <c r="AD656" s="181"/>
      <c r="AE656" s="181"/>
      <c r="AF656" s="181"/>
      <c r="AG656" s="181"/>
      <c r="AH656" s="181"/>
      <c r="AI656" s="181"/>
      <c r="AJ656" s="181"/>
    </row>
    <row r="657" spans="7:36" ht="13.5" customHeight="1"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  <c r="AC657" s="181"/>
      <c r="AD657" s="181"/>
      <c r="AE657" s="181"/>
      <c r="AF657" s="181"/>
      <c r="AG657" s="181"/>
      <c r="AH657" s="181"/>
      <c r="AI657" s="181"/>
      <c r="AJ657" s="181"/>
    </row>
    <row r="658" spans="7:36" ht="13.5" customHeight="1"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  <c r="AC658" s="181"/>
      <c r="AD658" s="181"/>
      <c r="AE658" s="181"/>
      <c r="AF658" s="181"/>
      <c r="AG658" s="181"/>
      <c r="AH658" s="181"/>
      <c r="AI658" s="181"/>
      <c r="AJ658" s="181"/>
    </row>
    <row r="659" spans="7:36" ht="13.5" customHeight="1"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  <c r="AC659" s="181"/>
      <c r="AD659" s="181"/>
      <c r="AE659" s="181"/>
      <c r="AF659" s="181"/>
      <c r="AG659" s="181"/>
      <c r="AH659" s="181"/>
      <c r="AI659" s="181"/>
      <c r="AJ659" s="181"/>
    </row>
    <row r="660" spans="7:36" ht="13.5" customHeight="1"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  <c r="AC660" s="181"/>
      <c r="AD660" s="181"/>
      <c r="AE660" s="181"/>
      <c r="AF660" s="181"/>
      <c r="AG660" s="181"/>
      <c r="AH660" s="181"/>
      <c r="AI660" s="181"/>
      <c r="AJ660" s="181"/>
    </row>
    <row r="661" spans="7:36" ht="13.5" customHeight="1"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  <c r="AC661" s="181"/>
      <c r="AD661" s="181"/>
      <c r="AE661" s="181"/>
      <c r="AF661" s="181"/>
      <c r="AG661" s="181"/>
      <c r="AH661" s="181"/>
      <c r="AI661" s="181"/>
      <c r="AJ661" s="181"/>
    </row>
    <row r="662" spans="7:36" ht="13.5" customHeight="1"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  <c r="AC662" s="181"/>
      <c r="AD662" s="181"/>
      <c r="AE662" s="181"/>
      <c r="AF662" s="181"/>
      <c r="AG662" s="181"/>
      <c r="AH662" s="181"/>
      <c r="AI662" s="181"/>
      <c r="AJ662" s="181"/>
    </row>
    <row r="663" spans="7:36" ht="13.5" customHeight="1"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  <c r="AC663" s="181"/>
      <c r="AD663" s="181"/>
      <c r="AE663" s="181"/>
      <c r="AF663" s="181"/>
      <c r="AG663" s="181"/>
      <c r="AH663" s="181"/>
      <c r="AI663" s="181"/>
      <c r="AJ663" s="181"/>
    </row>
    <row r="664" spans="7:36" ht="13.5" customHeight="1"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  <c r="AC664" s="181"/>
      <c r="AD664" s="181"/>
      <c r="AE664" s="181"/>
      <c r="AF664" s="181"/>
      <c r="AG664" s="181"/>
      <c r="AH664" s="181"/>
      <c r="AI664" s="181"/>
      <c r="AJ664" s="181"/>
    </row>
    <row r="665" spans="7:36" ht="13.5" customHeight="1"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  <c r="AC665" s="181"/>
      <c r="AD665" s="181"/>
      <c r="AE665" s="181"/>
      <c r="AF665" s="181"/>
      <c r="AG665" s="181"/>
      <c r="AH665" s="181"/>
      <c r="AI665" s="181"/>
      <c r="AJ665" s="181"/>
    </row>
    <row r="666" spans="7:36" ht="13.5" customHeight="1"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  <c r="AC666" s="181"/>
      <c r="AD666" s="181"/>
      <c r="AE666" s="181"/>
      <c r="AF666" s="181"/>
      <c r="AG666" s="181"/>
      <c r="AH666" s="181"/>
      <c r="AI666" s="181"/>
      <c r="AJ666" s="181"/>
    </row>
    <row r="667" spans="7:36" ht="13.5" customHeight="1"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  <c r="AC667" s="181"/>
      <c r="AD667" s="181"/>
      <c r="AE667" s="181"/>
      <c r="AF667" s="181"/>
      <c r="AG667" s="181"/>
      <c r="AH667" s="181"/>
      <c r="AI667" s="181"/>
      <c r="AJ667" s="181"/>
    </row>
    <row r="668" spans="7:36" ht="13.5" customHeight="1"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  <c r="AC668" s="181"/>
      <c r="AD668" s="181"/>
      <c r="AE668" s="181"/>
      <c r="AF668" s="181"/>
      <c r="AG668" s="181"/>
      <c r="AH668" s="181"/>
      <c r="AI668" s="181"/>
      <c r="AJ668" s="181"/>
    </row>
    <row r="669" spans="7:36" ht="13.5" customHeight="1"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  <c r="AC669" s="181"/>
      <c r="AD669" s="181"/>
      <c r="AE669" s="181"/>
      <c r="AF669" s="181"/>
      <c r="AG669" s="181"/>
      <c r="AH669" s="181"/>
      <c r="AI669" s="181"/>
      <c r="AJ669" s="181"/>
    </row>
    <row r="670" spans="7:36" ht="13.5" customHeight="1"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  <c r="AC670" s="181"/>
      <c r="AD670" s="181"/>
      <c r="AE670" s="181"/>
      <c r="AF670" s="181"/>
      <c r="AG670" s="181"/>
      <c r="AH670" s="181"/>
      <c r="AI670" s="181"/>
      <c r="AJ670" s="181"/>
    </row>
    <row r="671" spans="7:36" ht="13.5" customHeight="1"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  <c r="AC671" s="181"/>
      <c r="AD671" s="181"/>
      <c r="AE671" s="181"/>
      <c r="AF671" s="181"/>
      <c r="AG671" s="181"/>
      <c r="AH671" s="181"/>
      <c r="AI671" s="181"/>
      <c r="AJ671" s="181"/>
    </row>
    <row r="672" spans="7:36" ht="13.5" customHeight="1"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  <c r="AC672" s="181"/>
      <c r="AD672" s="181"/>
      <c r="AE672" s="181"/>
      <c r="AF672" s="181"/>
      <c r="AG672" s="181"/>
      <c r="AH672" s="181"/>
      <c r="AI672" s="181"/>
      <c r="AJ672" s="181"/>
    </row>
    <row r="673" spans="7:36" ht="13.5" customHeight="1"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  <c r="AC673" s="181"/>
      <c r="AD673" s="181"/>
      <c r="AE673" s="181"/>
      <c r="AF673" s="181"/>
      <c r="AG673" s="181"/>
      <c r="AH673" s="181"/>
      <c r="AI673" s="181"/>
      <c r="AJ673" s="181"/>
    </row>
    <row r="674" spans="7:36" ht="13.5" customHeight="1"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  <c r="AC674" s="181"/>
      <c r="AD674" s="181"/>
      <c r="AE674" s="181"/>
      <c r="AF674" s="181"/>
      <c r="AG674" s="181"/>
      <c r="AH674" s="181"/>
      <c r="AI674" s="181"/>
      <c r="AJ674" s="181"/>
    </row>
    <row r="675" spans="7:36" ht="13.5" customHeight="1"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  <c r="AC675" s="181"/>
      <c r="AD675" s="181"/>
      <c r="AE675" s="181"/>
      <c r="AF675" s="181"/>
      <c r="AG675" s="181"/>
      <c r="AH675" s="181"/>
      <c r="AI675" s="181"/>
      <c r="AJ675" s="181"/>
    </row>
    <row r="676" spans="7:36" ht="13.5" customHeight="1"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  <c r="AC676" s="181"/>
      <c r="AD676" s="181"/>
      <c r="AE676" s="181"/>
      <c r="AF676" s="181"/>
      <c r="AG676" s="181"/>
      <c r="AH676" s="181"/>
      <c r="AI676" s="181"/>
      <c r="AJ676" s="181"/>
    </row>
    <row r="677" spans="7:36" ht="13.5" customHeight="1"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  <c r="AC677" s="181"/>
      <c r="AD677" s="181"/>
      <c r="AE677" s="181"/>
      <c r="AF677" s="181"/>
      <c r="AG677" s="181"/>
      <c r="AH677" s="181"/>
      <c r="AI677" s="181"/>
      <c r="AJ677" s="181"/>
    </row>
    <row r="678" spans="7:36" ht="13.5" customHeight="1"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  <c r="AC678" s="181"/>
      <c r="AD678" s="181"/>
      <c r="AE678" s="181"/>
      <c r="AF678" s="181"/>
      <c r="AG678" s="181"/>
      <c r="AH678" s="181"/>
      <c r="AI678" s="181"/>
      <c r="AJ678" s="181"/>
    </row>
    <row r="679" spans="7:36" ht="13.5" customHeight="1"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  <c r="AC679" s="181"/>
      <c r="AD679" s="181"/>
      <c r="AE679" s="181"/>
      <c r="AF679" s="181"/>
      <c r="AG679" s="181"/>
      <c r="AH679" s="181"/>
      <c r="AI679" s="181"/>
      <c r="AJ679" s="181"/>
    </row>
    <row r="680" spans="7:36" ht="13.5" customHeight="1"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  <c r="AC680" s="181"/>
      <c r="AD680" s="181"/>
      <c r="AE680" s="181"/>
      <c r="AF680" s="181"/>
      <c r="AG680" s="181"/>
      <c r="AH680" s="181"/>
      <c r="AI680" s="181"/>
      <c r="AJ680" s="181"/>
    </row>
    <row r="681" spans="7:36" ht="13.5" customHeight="1"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  <c r="AC681" s="181"/>
      <c r="AD681" s="181"/>
      <c r="AE681" s="181"/>
      <c r="AF681" s="181"/>
      <c r="AG681" s="181"/>
      <c r="AH681" s="181"/>
      <c r="AI681" s="181"/>
      <c r="AJ681" s="181"/>
    </row>
    <row r="682" spans="7:36" ht="13.5" customHeight="1"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  <c r="AC682" s="181"/>
      <c r="AD682" s="181"/>
      <c r="AE682" s="181"/>
      <c r="AF682" s="181"/>
      <c r="AG682" s="181"/>
      <c r="AH682" s="181"/>
      <c r="AI682" s="181"/>
      <c r="AJ682" s="181"/>
    </row>
    <row r="683" spans="7:36" ht="13.5" customHeight="1"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  <c r="AC683" s="181"/>
      <c r="AD683" s="181"/>
      <c r="AE683" s="181"/>
      <c r="AF683" s="181"/>
      <c r="AG683" s="181"/>
      <c r="AH683" s="181"/>
      <c r="AI683" s="181"/>
      <c r="AJ683" s="181"/>
    </row>
    <row r="684" spans="7:36" ht="13.5" customHeight="1"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  <c r="AC684" s="181"/>
      <c r="AD684" s="181"/>
      <c r="AE684" s="181"/>
      <c r="AF684" s="181"/>
      <c r="AG684" s="181"/>
      <c r="AH684" s="181"/>
      <c r="AI684" s="181"/>
      <c r="AJ684" s="181"/>
    </row>
    <row r="685" spans="7:36" ht="13.5" customHeight="1"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  <c r="AC685" s="181"/>
      <c r="AD685" s="181"/>
      <c r="AE685" s="181"/>
      <c r="AF685" s="181"/>
      <c r="AG685" s="181"/>
      <c r="AH685" s="181"/>
      <c r="AI685" s="181"/>
      <c r="AJ685" s="181"/>
    </row>
    <row r="686" spans="7:36" ht="13.5" customHeight="1"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  <c r="AC686" s="181"/>
      <c r="AD686" s="181"/>
      <c r="AE686" s="181"/>
      <c r="AF686" s="181"/>
      <c r="AG686" s="181"/>
      <c r="AH686" s="181"/>
      <c r="AI686" s="181"/>
      <c r="AJ686" s="181"/>
    </row>
    <row r="687" spans="7:36" ht="13.5" customHeight="1"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  <c r="AC687" s="181"/>
      <c r="AD687" s="181"/>
      <c r="AE687" s="181"/>
      <c r="AF687" s="181"/>
      <c r="AG687" s="181"/>
      <c r="AH687" s="181"/>
      <c r="AI687" s="181"/>
      <c r="AJ687" s="181"/>
    </row>
    <row r="688" spans="7:36" ht="13.5" customHeight="1"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  <c r="AC688" s="181"/>
      <c r="AD688" s="181"/>
      <c r="AE688" s="181"/>
      <c r="AF688" s="181"/>
      <c r="AG688" s="181"/>
      <c r="AH688" s="181"/>
      <c r="AI688" s="181"/>
      <c r="AJ688" s="181"/>
    </row>
    <row r="689" spans="7:36" ht="13.5" customHeight="1"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  <c r="AC689" s="181"/>
      <c r="AD689" s="181"/>
      <c r="AE689" s="181"/>
      <c r="AF689" s="181"/>
      <c r="AG689" s="181"/>
      <c r="AH689" s="181"/>
      <c r="AI689" s="181"/>
      <c r="AJ689" s="181"/>
    </row>
    <row r="690" spans="7:36" ht="13.5" customHeight="1"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  <c r="AC690" s="181"/>
      <c r="AD690" s="181"/>
      <c r="AE690" s="181"/>
      <c r="AF690" s="181"/>
      <c r="AG690" s="181"/>
      <c r="AH690" s="181"/>
      <c r="AI690" s="181"/>
      <c r="AJ690" s="181"/>
    </row>
    <row r="691" spans="7:36" ht="13.5" customHeight="1"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  <c r="AC691" s="181"/>
      <c r="AD691" s="181"/>
      <c r="AE691" s="181"/>
      <c r="AF691" s="181"/>
      <c r="AG691" s="181"/>
      <c r="AH691" s="181"/>
      <c r="AI691" s="181"/>
      <c r="AJ691" s="181"/>
    </row>
    <row r="692" spans="7:36" ht="13.5" customHeight="1"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  <c r="AC692" s="181"/>
      <c r="AD692" s="181"/>
      <c r="AE692" s="181"/>
      <c r="AF692" s="181"/>
      <c r="AG692" s="181"/>
      <c r="AH692" s="181"/>
      <c r="AI692" s="181"/>
      <c r="AJ692" s="181"/>
    </row>
    <row r="693" spans="7:36" ht="13.5" customHeight="1"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  <c r="AC693" s="181"/>
      <c r="AD693" s="181"/>
      <c r="AE693" s="181"/>
      <c r="AF693" s="181"/>
      <c r="AG693" s="181"/>
      <c r="AH693" s="181"/>
      <c r="AI693" s="181"/>
      <c r="AJ693" s="181"/>
    </row>
    <row r="694" spans="7:36" ht="13.5" customHeight="1"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  <c r="AC694" s="181"/>
      <c r="AD694" s="181"/>
      <c r="AE694" s="181"/>
      <c r="AF694" s="181"/>
      <c r="AG694" s="181"/>
      <c r="AH694" s="181"/>
      <c r="AI694" s="181"/>
      <c r="AJ694" s="181"/>
    </row>
    <row r="695" spans="7:36" ht="13.5" customHeight="1"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  <c r="AC695" s="181"/>
      <c r="AD695" s="181"/>
      <c r="AE695" s="181"/>
      <c r="AF695" s="181"/>
      <c r="AG695" s="181"/>
      <c r="AH695" s="181"/>
      <c r="AI695" s="181"/>
      <c r="AJ695" s="181"/>
    </row>
    <row r="696" spans="7:36" ht="13.5" customHeight="1"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  <c r="AC696" s="181"/>
      <c r="AD696" s="181"/>
      <c r="AE696" s="181"/>
      <c r="AF696" s="181"/>
      <c r="AG696" s="181"/>
      <c r="AH696" s="181"/>
      <c r="AI696" s="181"/>
      <c r="AJ696" s="181"/>
    </row>
    <row r="697" spans="7:36" ht="13.5" customHeight="1"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  <c r="AC697" s="181"/>
      <c r="AD697" s="181"/>
      <c r="AE697" s="181"/>
      <c r="AF697" s="181"/>
      <c r="AG697" s="181"/>
      <c r="AH697" s="181"/>
      <c r="AI697" s="181"/>
      <c r="AJ697" s="181"/>
    </row>
    <row r="698" spans="7:36" ht="13.5" customHeight="1"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  <c r="AC698" s="181"/>
      <c r="AD698" s="181"/>
      <c r="AE698" s="181"/>
      <c r="AF698" s="181"/>
      <c r="AG698" s="181"/>
      <c r="AH698" s="181"/>
      <c r="AI698" s="181"/>
      <c r="AJ698" s="181"/>
    </row>
    <row r="699" spans="7:36" ht="13.5" customHeight="1"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  <c r="AC699" s="181"/>
      <c r="AD699" s="181"/>
      <c r="AE699" s="181"/>
      <c r="AF699" s="181"/>
      <c r="AG699" s="181"/>
      <c r="AH699" s="181"/>
      <c r="AI699" s="181"/>
      <c r="AJ699" s="181"/>
    </row>
    <row r="700" spans="7:36" ht="13.5" customHeight="1"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  <c r="AC700" s="181"/>
      <c r="AD700" s="181"/>
      <c r="AE700" s="181"/>
      <c r="AF700" s="181"/>
      <c r="AG700" s="181"/>
      <c r="AH700" s="181"/>
      <c r="AI700" s="181"/>
      <c r="AJ700" s="181"/>
    </row>
    <row r="701" spans="7:36" ht="13.5" customHeight="1"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  <c r="AC701" s="181"/>
      <c r="AD701" s="181"/>
      <c r="AE701" s="181"/>
      <c r="AF701" s="181"/>
      <c r="AG701" s="181"/>
      <c r="AH701" s="181"/>
      <c r="AI701" s="181"/>
      <c r="AJ701" s="181"/>
    </row>
    <row r="702" spans="7:36" ht="13.5" customHeight="1"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  <c r="AC702" s="181"/>
      <c r="AD702" s="181"/>
      <c r="AE702" s="181"/>
      <c r="AF702" s="181"/>
      <c r="AG702" s="181"/>
      <c r="AH702" s="181"/>
      <c r="AI702" s="181"/>
      <c r="AJ702" s="181"/>
    </row>
    <row r="703" spans="7:36" ht="13.5" customHeight="1"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  <c r="AC703" s="181"/>
      <c r="AD703" s="181"/>
      <c r="AE703" s="181"/>
      <c r="AF703" s="181"/>
      <c r="AG703" s="181"/>
      <c r="AH703" s="181"/>
      <c r="AI703" s="181"/>
      <c r="AJ703" s="181"/>
    </row>
    <row r="704" spans="7:36" ht="13.5" customHeight="1"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  <c r="AC704" s="181"/>
      <c r="AD704" s="181"/>
      <c r="AE704" s="181"/>
      <c r="AF704" s="181"/>
      <c r="AG704" s="181"/>
      <c r="AH704" s="181"/>
      <c r="AI704" s="181"/>
      <c r="AJ704" s="181"/>
    </row>
    <row r="705" spans="7:36" ht="13.5" customHeight="1"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  <c r="AC705" s="181"/>
      <c r="AD705" s="181"/>
      <c r="AE705" s="181"/>
      <c r="AF705" s="181"/>
      <c r="AG705" s="181"/>
      <c r="AH705" s="181"/>
      <c r="AI705" s="181"/>
      <c r="AJ705" s="181"/>
    </row>
    <row r="706" spans="7:36" ht="13.5" customHeight="1"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  <c r="AC706" s="181"/>
      <c r="AD706" s="181"/>
      <c r="AE706" s="181"/>
      <c r="AF706" s="181"/>
      <c r="AG706" s="181"/>
      <c r="AH706" s="181"/>
      <c r="AI706" s="181"/>
      <c r="AJ706" s="181"/>
    </row>
    <row r="707" spans="7:36" ht="13.5" customHeight="1"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  <c r="AC707" s="181"/>
      <c r="AD707" s="181"/>
      <c r="AE707" s="181"/>
      <c r="AF707" s="181"/>
      <c r="AG707" s="181"/>
      <c r="AH707" s="181"/>
      <c r="AI707" s="181"/>
      <c r="AJ707" s="181"/>
    </row>
    <row r="708" spans="7:36" ht="13.5" customHeight="1"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  <c r="AC708" s="181"/>
      <c r="AD708" s="181"/>
      <c r="AE708" s="181"/>
      <c r="AF708" s="181"/>
      <c r="AG708" s="181"/>
      <c r="AH708" s="181"/>
      <c r="AI708" s="181"/>
      <c r="AJ708" s="181"/>
    </row>
    <row r="709" spans="7:36" ht="13.5" customHeight="1"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  <c r="AC709" s="181"/>
      <c r="AD709" s="181"/>
      <c r="AE709" s="181"/>
      <c r="AF709" s="181"/>
      <c r="AG709" s="181"/>
      <c r="AH709" s="181"/>
      <c r="AI709" s="181"/>
      <c r="AJ709" s="181"/>
    </row>
    <row r="710" spans="7:36" ht="13.5" customHeight="1"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  <c r="AC710" s="181"/>
      <c r="AD710" s="181"/>
      <c r="AE710" s="181"/>
      <c r="AF710" s="181"/>
      <c r="AG710" s="181"/>
      <c r="AH710" s="181"/>
      <c r="AI710" s="181"/>
      <c r="AJ710" s="181"/>
    </row>
    <row r="711" spans="7:36" ht="13.5" customHeight="1"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  <c r="AC711" s="181"/>
      <c r="AD711" s="181"/>
      <c r="AE711" s="181"/>
      <c r="AF711" s="181"/>
      <c r="AG711" s="181"/>
      <c r="AH711" s="181"/>
      <c r="AI711" s="181"/>
      <c r="AJ711" s="181"/>
    </row>
    <row r="712" spans="7:36" ht="13.5" customHeight="1"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  <c r="AC712" s="181"/>
      <c r="AD712" s="181"/>
      <c r="AE712" s="181"/>
      <c r="AF712" s="181"/>
      <c r="AG712" s="181"/>
      <c r="AH712" s="181"/>
      <c r="AI712" s="181"/>
      <c r="AJ712" s="181"/>
    </row>
    <row r="713" spans="7:36" ht="13.5" customHeight="1"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  <c r="AC713" s="181"/>
      <c r="AD713" s="181"/>
      <c r="AE713" s="181"/>
      <c r="AF713" s="181"/>
      <c r="AG713" s="181"/>
      <c r="AH713" s="181"/>
      <c r="AI713" s="181"/>
      <c r="AJ713" s="181"/>
    </row>
    <row r="714" spans="7:36" ht="13.5" customHeight="1"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  <c r="AC714" s="181"/>
      <c r="AD714" s="181"/>
      <c r="AE714" s="181"/>
      <c r="AF714" s="181"/>
      <c r="AG714" s="181"/>
      <c r="AH714" s="181"/>
      <c r="AI714" s="181"/>
      <c r="AJ714" s="181"/>
    </row>
    <row r="715" spans="7:36" ht="13.5" customHeight="1"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  <c r="AC715" s="181"/>
      <c r="AD715" s="181"/>
      <c r="AE715" s="181"/>
      <c r="AF715" s="181"/>
      <c r="AG715" s="181"/>
      <c r="AH715" s="181"/>
      <c r="AI715" s="181"/>
      <c r="AJ715" s="181"/>
    </row>
    <row r="716" spans="7:36" ht="13.5" customHeight="1"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  <c r="AC716" s="181"/>
      <c r="AD716" s="181"/>
      <c r="AE716" s="181"/>
      <c r="AF716" s="181"/>
      <c r="AG716" s="181"/>
      <c r="AH716" s="181"/>
      <c r="AI716" s="181"/>
      <c r="AJ716" s="181"/>
    </row>
    <row r="717" spans="7:36" ht="13.5" customHeight="1"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  <c r="AC717" s="181"/>
      <c r="AD717" s="181"/>
      <c r="AE717" s="181"/>
      <c r="AF717" s="181"/>
      <c r="AG717" s="181"/>
      <c r="AH717" s="181"/>
      <c r="AI717" s="181"/>
      <c r="AJ717" s="181"/>
    </row>
    <row r="718" spans="7:36" ht="13.5" customHeight="1"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  <c r="AC718" s="181"/>
      <c r="AD718" s="181"/>
      <c r="AE718" s="181"/>
      <c r="AF718" s="181"/>
      <c r="AG718" s="181"/>
      <c r="AH718" s="181"/>
      <c r="AI718" s="181"/>
      <c r="AJ718" s="181"/>
    </row>
    <row r="719" spans="7:36" ht="13.5" customHeight="1"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  <c r="AF719" s="181"/>
      <c r="AG719" s="181"/>
      <c r="AH719" s="181"/>
      <c r="AI719" s="181"/>
      <c r="AJ719" s="181"/>
    </row>
    <row r="720" spans="7:36" ht="13.5" customHeight="1"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  <c r="AC720" s="181"/>
      <c r="AD720" s="181"/>
      <c r="AE720" s="181"/>
      <c r="AF720" s="181"/>
      <c r="AG720" s="181"/>
      <c r="AH720" s="181"/>
      <c r="AI720" s="181"/>
      <c r="AJ720" s="181"/>
    </row>
    <row r="721" spans="7:36" ht="13.5" customHeight="1"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  <c r="AC721" s="181"/>
      <c r="AD721" s="181"/>
      <c r="AE721" s="181"/>
      <c r="AF721" s="181"/>
      <c r="AG721" s="181"/>
      <c r="AH721" s="181"/>
      <c r="AI721" s="181"/>
      <c r="AJ721" s="181"/>
    </row>
    <row r="722" spans="7:36" ht="13.5" customHeight="1"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  <c r="AC722" s="181"/>
      <c r="AD722" s="181"/>
      <c r="AE722" s="181"/>
      <c r="AF722" s="181"/>
      <c r="AG722" s="181"/>
      <c r="AH722" s="181"/>
      <c r="AI722" s="181"/>
      <c r="AJ722" s="181"/>
    </row>
    <row r="723" spans="7:36" ht="13.5" customHeight="1"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  <c r="AC723" s="181"/>
      <c r="AD723" s="181"/>
      <c r="AE723" s="181"/>
      <c r="AF723" s="181"/>
      <c r="AG723" s="181"/>
      <c r="AH723" s="181"/>
      <c r="AI723" s="181"/>
      <c r="AJ723" s="181"/>
    </row>
    <row r="724" spans="7:36" ht="13.5" customHeight="1"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  <c r="AF724" s="181"/>
      <c r="AG724" s="181"/>
      <c r="AH724" s="181"/>
      <c r="AI724" s="181"/>
      <c r="AJ724" s="181"/>
    </row>
    <row r="725" spans="7:36" ht="13.5" customHeight="1"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  <c r="AC725" s="181"/>
      <c r="AD725" s="181"/>
      <c r="AE725" s="181"/>
      <c r="AF725" s="181"/>
      <c r="AG725" s="181"/>
      <c r="AH725" s="181"/>
      <c r="AI725" s="181"/>
      <c r="AJ725" s="181"/>
    </row>
    <row r="726" spans="7:36" ht="13.5" customHeight="1"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  <c r="AC726" s="181"/>
      <c r="AD726" s="181"/>
      <c r="AE726" s="181"/>
      <c r="AF726" s="181"/>
      <c r="AG726" s="181"/>
      <c r="AH726" s="181"/>
      <c r="AI726" s="181"/>
      <c r="AJ726" s="181"/>
    </row>
    <row r="727" spans="7:36" ht="13.5" customHeight="1"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  <c r="AC727" s="181"/>
      <c r="AD727" s="181"/>
      <c r="AE727" s="181"/>
      <c r="AF727" s="181"/>
      <c r="AG727" s="181"/>
      <c r="AH727" s="181"/>
      <c r="AI727" s="181"/>
      <c r="AJ727" s="181"/>
    </row>
    <row r="728" spans="7:36" ht="13.5" customHeight="1"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  <c r="AC728" s="181"/>
      <c r="AD728" s="181"/>
      <c r="AE728" s="181"/>
      <c r="AF728" s="181"/>
      <c r="AG728" s="181"/>
      <c r="AH728" s="181"/>
      <c r="AI728" s="181"/>
      <c r="AJ728" s="181"/>
    </row>
    <row r="729" spans="7:36" ht="13.5" customHeight="1"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  <c r="AC729" s="181"/>
      <c r="AD729" s="181"/>
      <c r="AE729" s="181"/>
      <c r="AF729" s="181"/>
      <c r="AG729" s="181"/>
      <c r="AH729" s="181"/>
      <c r="AI729" s="181"/>
      <c r="AJ729" s="181"/>
    </row>
    <row r="730" spans="7:36" ht="13.5" customHeight="1"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  <c r="AC730" s="181"/>
      <c r="AD730" s="181"/>
      <c r="AE730" s="181"/>
      <c r="AF730" s="181"/>
      <c r="AG730" s="181"/>
      <c r="AH730" s="181"/>
      <c r="AI730" s="181"/>
      <c r="AJ730" s="181"/>
    </row>
    <row r="731" spans="7:36" ht="13.5" customHeight="1"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  <c r="AC731" s="181"/>
      <c r="AD731" s="181"/>
      <c r="AE731" s="181"/>
      <c r="AF731" s="181"/>
      <c r="AG731" s="181"/>
      <c r="AH731" s="181"/>
      <c r="AI731" s="181"/>
      <c r="AJ731" s="181"/>
    </row>
    <row r="732" spans="7:36" ht="13.5" customHeight="1"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  <c r="AC732" s="181"/>
      <c r="AD732" s="181"/>
      <c r="AE732" s="181"/>
      <c r="AF732" s="181"/>
      <c r="AG732" s="181"/>
      <c r="AH732" s="181"/>
      <c r="AI732" s="181"/>
      <c r="AJ732" s="181"/>
    </row>
    <row r="733" spans="7:36" ht="13.5" customHeight="1"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  <c r="AC733" s="181"/>
      <c r="AD733" s="181"/>
      <c r="AE733" s="181"/>
      <c r="AF733" s="181"/>
      <c r="AG733" s="181"/>
      <c r="AH733" s="181"/>
      <c r="AI733" s="181"/>
      <c r="AJ733" s="181"/>
    </row>
    <row r="734" spans="7:36" ht="13.5" customHeight="1"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  <c r="AC734" s="181"/>
      <c r="AD734" s="181"/>
      <c r="AE734" s="181"/>
      <c r="AF734" s="181"/>
      <c r="AG734" s="181"/>
      <c r="AH734" s="181"/>
      <c r="AI734" s="181"/>
      <c r="AJ734" s="181"/>
    </row>
    <row r="735" spans="7:36" ht="13.5" customHeight="1"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  <c r="AC735" s="181"/>
      <c r="AD735" s="181"/>
      <c r="AE735" s="181"/>
      <c r="AF735" s="181"/>
      <c r="AG735" s="181"/>
      <c r="AH735" s="181"/>
      <c r="AI735" s="181"/>
      <c r="AJ735" s="181"/>
    </row>
    <row r="736" spans="7:36" ht="13.5" customHeight="1"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  <c r="AC736" s="181"/>
      <c r="AD736" s="181"/>
      <c r="AE736" s="181"/>
      <c r="AF736" s="181"/>
      <c r="AG736" s="181"/>
      <c r="AH736" s="181"/>
      <c r="AI736" s="181"/>
      <c r="AJ736" s="181"/>
    </row>
    <row r="737" spans="7:36" ht="13.5" customHeight="1"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  <c r="AC737" s="181"/>
      <c r="AD737" s="181"/>
      <c r="AE737" s="181"/>
      <c r="AF737" s="181"/>
      <c r="AG737" s="181"/>
      <c r="AH737" s="181"/>
      <c r="AI737" s="181"/>
      <c r="AJ737" s="181"/>
    </row>
    <row r="738" spans="7:36" ht="13.5" customHeight="1"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  <c r="AC738" s="181"/>
      <c r="AD738" s="181"/>
      <c r="AE738" s="181"/>
      <c r="AF738" s="181"/>
      <c r="AG738" s="181"/>
      <c r="AH738" s="181"/>
      <c r="AI738" s="181"/>
      <c r="AJ738" s="181"/>
    </row>
    <row r="739" spans="7:36" ht="13.5" customHeight="1"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  <c r="AC739" s="181"/>
      <c r="AD739" s="181"/>
      <c r="AE739" s="181"/>
      <c r="AF739" s="181"/>
      <c r="AG739" s="181"/>
      <c r="AH739" s="181"/>
      <c r="AI739" s="181"/>
      <c r="AJ739" s="181"/>
    </row>
    <row r="740" spans="7:36" ht="13.5" customHeight="1"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  <c r="AC740" s="181"/>
      <c r="AD740" s="181"/>
      <c r="AE740" s="181"/>
      <c r="AF740" s="181"/>
      <c r="AG740" s="181"/>
      <c r="AH740" s="181"/>
      <c r="AI740" s="181"/>
      <c r="AJ740" s="181"/>
    </row>
    <row r="741" spans="7:36" ht="13.5" customHeight="1"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  <c r="AC741" s="181"/>
      <c r="AD741" s="181"/>
      <c r="AE741" s="181"/>
      <c r="AF741" s="181"/>
      <c r="AG741" s="181"/>
      <c r="AH741" s="181"/>
      <c r="AI741" s="181"/>
      <c r="AJ741" s="181"/>
    </row>
    <row r="742" spans="7:36" ht="13.5" customHeight="1"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  <c r="AC742" s="181"/>
      <c r="AD742" s="181"/>
      <c r="AE742" s="181"/>
      <c r="AF742" s="181"/>
      <c r="AG742" s="181"/>
      <c r="AH742" s="181"/>
      <c r="AI742" s="181"/>
      <c r="AJ742" s="181"/>
    </row>
    <row r="743" spans="7:36" ht="13.5" customHeight="1"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  <c r="AC743" s="181"/>
      <c r="AD743" s="181"/>
      <c r="AE743" s="181"/>
      <c r="AF743" s="181"/>
      <c r="AG743" s="181"/>
      <c r="AH743" s="181"/>
      <c r="AI743" s="181"/>
      <c r="AJ743" s="181"/>
    </row>
    <row r="744" spans="7:36" ht="13.5" customHeight="1"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  <c r="AC744" s="181"/>
      <c r="AD744" s="181"/>
      <c r="AE744" s="181"/>
      <c r="AF744" s="181"/>
      <c r="AG744" s="181"/>
      <c r="AH744" s="181"/>
      <c r="AI744" s="181"/>
      <c r="AJ744" s="181"/>
    </row>
    <row r="745" spans="7:36" ht="13.5" customHeight="1"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  <c r="AC745" s="181"/>
      <c r="AD745" s="181"/>
      <c r="AE745" s="181"/>
      <c r="AF745" s="181"/>
      <c r="AG745" s="181"/>
      <c r="AH745" s="181"/>
      <c r="AI745" s="181"/>
      <c r="AJ745" s="181"/>
    </row>
    <row r="746" spans="7:36" ht="13.5" customHeight="1"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  <c r="AC746" s="181"/>
      <c r="AD746" s="181"/>
      <c r="AE746" s="181"/>
      <c r="AF746" s="181"/>
      <c r="AG746" s="181"/>
      <c r="AH746" s="181"/>
      <c r="AI746" s="181"/>
      <c r="AJ746" s="181"/>
    </row>
    <row r="747" spans="7:36" ht="13.5" customHeight="1"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  <c r="AC747" s="181"/>
      <c r="AD747" s="181"/>
      <c r="AE747" s="181"/>
      <c r="AF747" s="181"/>
      <c r="AG747" s="181"/>
      <c r="AH747" s="181"/>
      <c r="AI747" s="181"/>
      <c r="AJ747" s="181"/>
    </row>
    <row r="748" spans="7:36" ht="13.5" customHeight="1"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  <c r="AC748" s="181"/>
      <c r="AD748" s="181"/>
      <c r="AE748" s="181"/>
      <c r="AF748" s="181"/>
      <c r="AG748" s="181"/>
      <c r="AH748" s="181"/>
      <c r="AI748" s="181"/>
      <c r="AJ748" s="181"/>
    </row>
    <row r="749" spans="7:36" ht="13.5" customHeight="1"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  <c r="AC749" s="181"/>
      <c r="AD749" s="181"/>
      <c r="AE749" s="181"/>
      <c r="AF749" s="181"/>
      <c r="AG749" s="181"/>
      <c r="AH749" s="181"/>
      <c r="AI749" s="181"/>
      <c r="AJ749" s="181"/>
    </row>
    <row r="750" spans="7:36" ht="13.5" customHeight="1"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  <c r="AC750" s="181"/>
      <c r="AD750" s="181"/>
      <c r="AE750" s="181"/>
      <c r="AF750" s="181"/>
      <c r="AG750" s="181"/>
      <c r="AH750" s="181"/>
      <c r="AI750" s="181"/>
      <c r="AJ750" s="181"/>
    </row>
    <row r="751" spans="7:36" ht="13.5" customHeight="1"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  <c r="AC751" s="181"/>
      <c r="AD751" s="181"/>
      <c r="AE751" s="181"/>
      <c r="AF751" s="181"/>
      <c r="AG751" s="181"/>
      <c r="AH751" s="181"/>
      <c r="AI751" s="181"/>
      <c r="AJ751" s="181"/>
    </row>
    <row r="752" spans="7:36" ht="13.5" customHeight="1"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  <c r="AC752" s="181"/>
      <c r="AD752" s="181"/>
      <c r="AE752" s="181"/>
      <c r="AF752" s="181"/>
      <c r="AG752" s="181"/>
      <c r="AH752" s="181"/>
      <c r="AI752" s="181"/>
      <c r="AJ752" s="181"/>
    </row>
    <row r="753" spans="7:36" ht="13.5" customHeight="1"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  <c r="AC753" s="181"/>
      <c r="AD753" s="181"/>
      <c r="AE753" s="181"/>
      <c r="AF753" s="181"/>
      <c r="AG753" s="181"/>
      <c r="AH753" s="181"/>
      <c r="AI753" s="181"/>
      <c r="AJ753" s="181"/>
    </row>
    <row r="754" spans="7:36" ht="13.5" customHeight="1"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  <c r="AC754" s="181"/>
      <c r="AD754" s="181"/>
      <c r="AE754" s="181"/>
      <c r="AF754" s="181"/>
      <c r="AG754" s="181"/>
      <c r="AH754" s="181"/>
      <c r="AI754" s="181"/>
      <c r="AJ754" s="181"/>
    </row>
    <row r="755" spans="7:36" ht="13.5" customHeight="1"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  <c r="AC755" s="181"/>
      <c r="AD755" s="181"/>
      <c r="AE755" s="181"/>
      <c r="AF755" s="181"/>
      <c r="AG755" s="181"/>
      <c r="AH755" s="181"/>
      <c r="AI755" s="181"/>
      <c r="AJ755" s="181"/>
    </row>
    <row r="756" spans="7:36" ht="13.5" customHeight="1"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  <c r="AC756" s="181"/>
      <c r="AD756" s="181"/>
      <c r="AE756" s="181"/>
      <c r="AF756" s="181"/>
      <c r="AG756" s="181"/>
      <c r="AH756" s="181"/>
      <c r="AI756" s="181"/>
      <c r="AJ756" s="181"/>
    </row>
    <row r="757" spans="7:36" ht="13.5" customHeight="1"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  <c r="AC757" s="181"/>
      <c r="AD757" s="181"/>
      <c r="AE757" s="181"/>
      <c r="AF757" s="181"/>
      <c r="AG757" s="181"/>
      <c r="AH757" s="181"/>
      <c r="AI757" s="181"/>
      <c r="AJ757" s="181"/>
    </row>
    <row r="758" spans="7:36" ht="13.5" customHeight="1"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  <c r="AC758" s="181"/>
      <c r="AD758" s="181"/>
      <c r="AE758" s="181"/>
      <c r="AF758" s="181"/>
      <c r="AG758" s="181"/>
      <c r="AH758" s="181"/>
      <c r="AI758" s="181"/>
      <c r="AJ758" s="181"/>
    </row>
    <row r="759" spans="7:36" ht="13.5" customHeight="1"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  <c r="AC759" s="181"/>
      <c r="AD759" s="181"/>
      <c r="AE759" s="181"/>
      <c r="AF759" s="181"/>
      <c r="AG759" s="181"/>
      <c r="AH759" s="181"/>
      <c r="AI759" s="181"/>
      <c r="AJ759" s="181"/>
    </row>
    <row r="760" spans="7:36" ht="13.5" customHeight="1"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  <c r="AC760" s="181"/>
      <c r="AD760" s="181"/>
      <c r="AE760" s="181"/>
      <c r="AF760" s="181"/>
      <c r="AG760" s="181"/>
      <c r="AH760" s="181"/>
      <c r="AI760" s="181"/>
      <c r="AJ760" s="181"/>
    </row>
    <row r="761" spans="7:36" ht="13.5" customHeight="1"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  <c r="AC761" s="181"/>
      <c r="AD761" s="181"/>
      <c r="AE761" s="181"/>
      <c r="AF761" s="181"/>
      <c r="AG761" s="181"/>
      <c r="AH761" s="181"/>
      <c r="AI761" s="181"/>
      <c r="AJ761" s="181"/>
    </row>
    <row r="762" spans="7:36" ht="13.5" customHeight="1"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  <c r="AC762" s="181"/>
      <c r="AD762" s="181"/>
      <c r="AE762" s="181"/>
      <c r="AF762" s="181"/>
      <c r="AG762" s="181"/>
      <c r="AH762" s="181"/>
      <c r="AI762" s="181"/>
      <c r="AJ762" s="181"/>
    </row>
    <row r="763" spans="7:36" ht="13.5" customHeight="1"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  <c r="AC763" s="181"/>
      <c r="AD763" s="181"/>
      <c r="AE763" s="181"/>
      <c r="AF763" s="181"/>
      <c r="AG763" s="181"/>
      <c r="AH763" s="181"/>
      <c r="AI763" s="181"/>
      <c r="AJ763" s="181"/>
    </row>
    <row r="764" spans="7:36" ht="13.5" customHeight="1"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  <c r="AC764" s="181"/>
      <c r="AD764" s="181"/>
      <c r="AE764" s="181"/>
      <c r="AF764" s="181"/>
      <c r="AG764" s="181"/>
      <c r="AH764" s="181"/>
      <c r="AI764" s="181"/>
      <c r="AJ764" s="181"/>
    </row>
    <row r="765" spans="7:36" ht="13.5" customHeight="1"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  <c r="AC765" s="181"/>
      <c r="AD765" s="181"/>
      <c r="AE765" s="181"/>
      <c r="AF765" s="181"/>
      <c r="AG765" s="181"/>
      <c r="AH765" s="181"/>
      <c r="AI765" s="181"/>
      <c r="AJ765" s="181"/>
    </row>
    <row r="766" spans="7:36" ht="13.5" customHeight="1"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  <c r="AC766" s="181"/>
      <c r="AD766" s="181"/>
      <c r="AE766" s="181"/>
      <c r="AF766" s="181"/>
      <c r="AG766" s="181"/>
      <c r="AH766" s="181"/>
      <c r="AI766" s="181"/>
      <c r="AJ766" s="181"/>
    </row>
    <row r="767" spans="7:36" ht="13.5" customHeight="1"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  <c r="AC767" s="181"/>
      <c r="AD767" s="181"/>
      <c r="AE767" s="181"/>
      <c r="AF767" s="181"/>
      <c r="AG767" s="181"/>
      <c r="AH767" s="181"/>
      <c r="AI767" s="181"/>
      <c r="AJ767" s="181"/>
    </row>
    <row r="768" spans="7:36" ht="13.5" customHeight="1"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  <c r="AC768" s="181"/>
      <c r="AD768" s="181"/>
      <c r="AE768" s="181"/>
      <c r="AF768" s="181"/>
      <c r="AG768" s="181"/>
      <c r="AH768" s="181"/>
      <c r="AI768" s="181"/>
      <c r="AJ768" s="181"/>
    </row>
    <row r="769" spans="7:36" ht="13.5" customHeight="1"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  <c r="AC769" s="181"/>
      <c r="AD769" s="181"/>
      <c r="AE769" s="181"/>
      <c r="AF769" s="181"/>
      <c r="AG769" s="181"/>
      <c r="AH769" s="181"/>
      <c r="AI769" s="181"/>
      <c r="AJ769" s="181"/>
    </row>
    <row r="770" spans="7:36" ht="13.5" customHeight="1"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  <c r="AC770" s="181"/>
      <c r="AD770" s="181"/>
      <c r="AE770" s="181"/>
      <c r="AF770" s="181"/>
      <c r="AG770" s="181"/>
      <c r="AH770" s="181"/>
      <c r="AI770" s="181"/>
      <c r="AJ770" s="181"/>
    </row>
    <row r="771" spans="7:36" ht="13.5" customHeight="1"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  <c r="AC771" s="181"/>
      <c r="AD771" s="181"/>
      <c r="AE771" s="181"/>
      <c r="AF771" s="181"/>
      <c r="AG771" s="181"/>
      <c r="AH771" s="181"/>
      <c r="AI771" s="181"/>
      <c r="AJ771" s="181"/>
    </row>
    <row r="772" spans="7:36" ht="13.5" customHeight="1"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  <c r="AC772" s="181"/>
      <c r="AD772" s="181"/>
      <c r="AE772" s="181"/>
      <c r="AF772" s="181"/>
      <c r="AG772" s="181"/>
      <c r="AH772" s="181"/>
      <c r="AI772" s="181"/>
      <c r="AJ772" s="181"/>
    </row>
    <row r="773" spans="7:36" ht="13.5" customHeight="1"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  <c r="AC773" s="181"/>
      <c r="AD773" s="181"/>
      <c r="AE773" s="181"/>
      <c r="AF773" s="181"/>
      <c r="AG773" s="181"/>
      <c r="AH773" s="181"/>
      <c r="AI773" s="181"/>
      <c r="AJ773" s="181"/>
    </row>
    <row r="774" spans="7:36" ht="13.5" customHeight="1"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  <c r="AC774" s="181"/>
      <c r="AD774" s="181"/>
      <c r="AE774" s="181"/>
      <c r="AF774" s="181"/>
      <c r="AG774" s="181"/>
      <c r="AH774" s="181"/>
      <c r="AI774" s="181"/>
      <c r="AJ774" s="181"/>
    </row>
    <row r="775" spans="7:36" ht="13.5" customHeight="1"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  <c r="AC775" s="181"/>
      <c r="AD775" s="181"/>
      <c r="AE775" s="181"/>
      <c r="AF775" s="181"/>
      <c r="AG775" s="181"/>
      <c r="AH775" s="181"/>
      <c r="AI775" s="181"/>
      <c r="AJ775" s="181"/>
    </row>
    <row r="776" spans="7:36" ht="13.5" customHeight="1"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  <c r="AC776" s="181"/>
      <c r="AD776" s="181"/>
      <c r="AE776" s="181"/>
      <c r="AF776" s="181"/>
      <c r="AG776" s="181"/>
      <c r="AH776" s="181"/>
      <c r="AI776" s="181"/>
      <c r="AJ776" s="181"/>
    </row>
    <row r="777" spans="7:36" ht="13.5" customHeight="1"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  <c r="AC777" s="181"/>
      <c r="AD777" s="181"/>
      <c r="AE777" s="181"/>
      <c r="AF777" s="181"/>
      <c r="AG777" s="181"/>
      <c r="AH777" s="181"/>
      <c r="AI777" s="181"/>
      <c r="AJ777" s="181"/>
    </row>
    <row r="778" spans="7:36" ht="13.5" customHeight="1"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  <c r="AC778" s="181"/>
      <c r="AD778" s="181"/>
      <c r="AE778" s="181"/>
      <c r="AF778" s="181"/>
      <c r="AG778" s="181"/>
      <c r="AH778" s="181"/>
      <c r="AI778" s="181"/>
      <c r="AJ778" s="181"/>
    </row>
    <row r="779" spans="7:36" ht="13.5" customHeight="1"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  <c r="AC779" s="181"/>
      <c r="AD779" s="181"/>
      <c r="AE779" s="181"/>
      <c r="AF779" s="181"/>
      <c r="AG779" s="181"/>
      <c r="AH779" s="181"/>
      <c r="AI779" s="181"/>
      <c r="AJ779" s="181"/>
    </row>
    <row r="780" spans="7:36" ht="13.5" customHeight="1"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  <c r="AC780" s="181"/>
      <c r="AD780" s="181"/>
      <c r="AE780" s="181"/>
      <c r="AF780" s="181"/>
      <c r="AG780" s="181"/>
      <c r="AH780" s="181"/>
      <c r="AI780" s="181"/>
      <c r="AJ780" s="181"/>
    </row>
    <row r="781" spans="7:36" ht="13.5" customHeight="1"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  <c r="AC781" s="181"/>
      <c r="AD781" s="181"/>
      <c r="AE781" s="181"/>
      <c r="AF781" s="181"/>
      <c r="AG781" s="181"/>
      <c r="AH781" s="181"/>
      <c r="AI781" s="181"/>
      <c r="AJ781" s="181"/>
    </row>
    <row r="782" spans="7:36" ht="13.5" customHeight="1"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  <c r="AC782" s="181"/>
      <c r="AD782" s="181"/>
      <c r="AE782" s="181"/>
      <c r="AF782" s="181"/>
      <c r="AG782" s="181"/>
      <c r="AH782" s="181"/>
      <c r="AI782" s="181"/>
      <c r="AJ782" s="181"/>
    </row>
    <row r="783" spans="7:36" ht="13.5" customHeight="1"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  <c r="AC783" s="181"/>
      <c r="AD783" s="181"/>
      <c r="AE783" s="181"/>
      <c r="AF783" s="181"/>
      <c r="AG783" s="181"/>
      <c r="AH783" s="181"/>
      <c r="AI783" s="181"/>
      <c r="AJ783" s="181"/>
    </row>
    <row r="784" spans="7:36" ht="13.5" customHeight="1"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  <c r="AC784" s="181"/>
      <c r="AD784" s="181"/>
      <c r="AE784" s="181"/>
      <c r="AF784" s="181"/>
      <c r="AG784" s="181"/>
      <c r="AH784" s="181"/>
      <c r="AI784" s="181"/>
      <c r="AJ784" s="181"/>
    </row>
    <row r="785" spans="7:36" ht="13.5" customHeight="1"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  <c r="AC785" s="181"/>
      <c r="AD785" s="181"/>
      <c r="AE785" s="181"/>
      <c r="AF785" s="181"/>
      <c r="AG785" s="181"/>
      <c r="AH785" s="181"/>
      <c r="AI785" s="181"/>
      <c r="AJ785" s="181"/>
    </row>
    <row r="786" spans="7:36" ht="13.5" customHeight="1"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  <c r="AC786" s="181"/>
      <c r="AD786" s="181"/>
      <c r="AE786" s="181"/>
      <c r="AF786" s="181"/>
      <c r="AG786" s="181"/>
      <c r="AH786" s="181"/>
      <c r="AI786" s="181"/>
      <c r="AJ786" s="181"/>
    </row>
    <row r="787" spans="7:36" ht="13.5" customHeight="1"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  <c r="AC787" s="181"/>
      <c r="AD787" s="181"/>
      <c r="AE787" s="181"/>
      <c r="AF787" s="181"/>
      <c r="AG787" s="181"/>
      <c r="AH787" s="181"/>
      <c r="AI787" s="181"/>
      <c r="AJ787" s="181"/>
    </row>
    <row r="788" spans="7:36" ht="13.5" customHeight="1"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  <c r="AC788" s="181"/>
      <c r="AD788" s="181"/>
      <c r="AE788" s="181"/>
      <c r="AF788" s="181"/>
      <c r="AG788" s="181"/>
      <c r="AH788" s="181"/>
      <c r="AI788" s="181"/>
      <c r="AJ788" s="181"/>
    </row>
    <row r="789" spans="7:36" ht="13.5" customHeight="1"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  <c r="AC789" s="181"/>
      <c r="AD789" s="181"/>
      <c r="AE789" s="181"/>
      <c r="AF789" s="181"/>
      <c r="AG789" s="181"/>
      <c r="AH789" s="181"/>
      <c r="AI789" s="181"/>
      <c r="AJ789" s="181"/>
    </row>
    <row r="790" spans="7:36" ht="13.5" customHeight="1"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  <c r="AC790" s="181"/>
      <c r="AD790" s="181"/>
      <c r="AE790" s="181"/>
      <c r="AF790" s="181"/>
      <c r="AG790" s="181"/>
      <c r="AH790" s="181"/>
      <c r="AI790" s="181"/>
      <c r="AJ790" s="181"/>
    </row>
    <row r="791" spans="7:36" ht="13.5" customHeight="1"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  <c r="AC791" s="181"/>
      <c r="AD791" s="181"/>
      <c r="AE791" s="181"/>
      <c r="AF791" s="181"/>
      <c r="AG791" s="181"/>
      <c r="AH791" s="181"/>
      <c r="AI791" s="181"/>
      <c r="AJ791" s="181"/>
    </row>
    <row r="792" spans="7:36" ht="13.5" customHeight="1"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  <c r="AC792" s="181"/>
      <c r="AD792" s="181"/>
      <c r="AE792" s="181"/>
      <c r="AF792" s="181"/>
      <c r="AG792" s="181"/>
      <c r="AH792" s="181"/>
      <c r="AI792" s="181"/>
      <c r="AJ792" s="181"/>
    </row>
    <row r="793" spans="7:36" ht="13.5" customHeight="1"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  <c r="AC793" s="181"/>
      <c r="AD793" s="181"/>
      <c r="AE793" s="181"/>
      <c r="AF793" s="181"/>
      <c r="AG793" s="181"/>
      <c r="AH793" s="181"/>
      <c r="AI793" s="181"/>
      <c r="AJ793" s="181"/>
    </row>
    <row r="794" spans="7:36" ht="13.5" customHeight="1"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  <c r="AC794" s="181"/>
      <c r="AD794" s="181"/>
      <c r="AE794" s="181"/>
      <c r="AF794" s="181"/>
      <c r="AG794" s="181"/>
      <c r="AH794" s="181"/>
      <c r="AI794" s="181"/>
      <c r="AJ794" s="181"/>
    </row>
    <row r="795" spans="7:36" ht="13.5" customHeight="1"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  <c r="AC795" s="181"/>
      <c r="AD795" s="181"/>
      <c r="AE795" s="181"/>
      <c r="AF795" s="181"/>
      <c r="AG795" s="181"/>
      <c r="AH795" s="181"/>
      <c r="AI795" s="181"/>
      <c r="AJ795" s="181"/>
    </row>
    <row r="796" spans="7:36" ht="13.5" customHeight="1"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  <c r="AC796" s="181"/>
      <c r="AD796" s="181"/>
      <c r="AE796" s="181"/>
      <c r="AF796" s="181"/>
      <c r="AG796" s="181"/>
      <c r="AH796" s="181"/>
      <c r="AI796" s="181"/>
      <c r="AJ796" s="181"/>
    </row>
    <row r="797" spans="7:36" ht="13.5" customHeight="1"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  <c r="AC797" s="181"/>
      <c r="AD797" s="181"/>
      <c r="AE797" s="181"/>
      <c r="AF797" s="181"/>
      <c r="AG797" s="181"/>
      <c r="AH797" s="181"/>
      <c r="AI797" s="181"/>
      <c r="AJ797" s="181"/>
    </row>
    <row r="798" spans="7:36" ht="13.5" customHeight="1"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  <c r="AC798" s="181"/>
      <c r="AD798" s="181"/>
      <c r="AE798" s="181"/>
      <c r="AF798" s="181"/>
      <c r="AG798" s="181"/>
      <c r="AH798" s="181"/>
      <c r="AI798" s="181"/>
      <c r="AJ798" s="181"/>
    </row>
    <row r="799" spans="7:36" ht="13.5" customHeight="1"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  <c r="AC799" s="181"/>
      <c r="AD799" s="181"/>
      <c r="AE799" s="181"/>
      <c r="AF799" s="181"/>
      <c r="AG799" s="181"/>
      <c r="AH799" s="181"/>
      <c r="AI799" s="181"/>
      <c r="AJ799" s="181"/>
    </row>
    <row r="800" spans="7:36" ht="13.5" customHeight="1"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  <c r="AC800" s="181"/>
      <c r="AD800" s="181"/>
      <c r="AE800" s="181"/>
      <c r="AF800" s="181"/>
      <c r="AG800" s="181"/>
      <c r="AH800" s="181"/>
      <c r="AI800" s="181"/>
      <c r="AJ800" s="181"/>
    </row>
    <row r="801" spans="7:36" ht="13.5" customHeight="1"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  <c r="AC801" s="181"/>
      <c r="AD801" s="181"/>
      <c r="AE801" s="181"/>
      <c r="AF801" s="181"/>
      <c r="AG801" s="181"/>
      <c r="AH801" s="181"/>
      <c r="AI801" s="181"/>
      <c r="AJ801" s="181"/>
    </row>
    <row r="802" spans="7:36" ht="13.5" customHeight="1"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  <c r="AC802" s="181"/>
      <c r="AD802" s="181"/>
      <c r="AE802" s="181"/>
      <c r="AF802" s="181"/>
      <c r="AG802" s="181"/>
      <c r="AH802" s="181"/>
      <c r="AI802" s="181"/>
      <c r="AJ802" s="181"/>
    </row>
    <row r="803" spans="7:36" ht="13.5" customHeight="1"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  <c r="AC803" s="181"/>
      <c r="AD803" s="181"/>
      <c r="AE803" s="181"/>
      <c r="AF803" s="181"/>
      <c r="AG803" s="181"/>
      <c r="AH803" s="181"/>
      <c r="AI803" s="181"/>
      <c r="AJ803" s="181"/>
    </row>
    <row r="804" spans="7:36" ht="13.5" customHeight="1"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  <c r="AC804" s="181"/>
      <c r="AD804" s="181"/>
      <c r="AE804" s="181"/>
      <c r="AF804" s="181"/>
      <c r="AG804" s="181"/>
      <c r="AH804" s="181"/>
      <c r="AI804" s="181"/>
      <c r="AJ804" s="181"/>
    </row>
    <row r="805" spans="7:36" ht="13.5" customHeight="1"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  <c r="AC805" s="181"/>
      <c r="AD805" s="181"/>
      <c r="AE805" s="181"/>
      <c r="AF805" s="181"/>
      <c r="AG805" s="181"/>
      <c r="AH805" s="181"/>
      <c r="AI805" s="181"/>
      <c r="AJ805" s="181"/>
    </row>
    <row r="806" spans="7:36" ht="13.5" customHeight="1"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  <c r="AC806" s="181"/>
      <c r="AD806" s="181"/>
      <c r="AE806" s="181"/>
      <c r="AF806" s="181"/>
      <c r="AG806" s="181"/>
      <c r="AH806" s="181"/>
      <c r="AI806" s="181"/>
      <c r="AJ806" s="181"/>
    </row>
    <row r="807" spans="7:36" ht="13.5" customHeight="1"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  <c r="AC807" s="181"/>
      <c r="AD807" s="181"/>
      <c r="AE807" s="181"/>
      <c r="AF807" s="181"/>
      <c r="AG807" s="181"/>
      <c r="AH807" s="181"/>
      <c r="AI807" s="181"/>
      <c r="AJ807" s="181"/>
    </row>
    <row r="808" spans="7:36" ht="13.5" customHeight="1"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  <c r="AC808" s="181"/>
      <c r="AD808" s="181"/>
      <c r="AE808" s="181"/>
      <c r="AF808" s="181"/>
      <c r="AG808" s="181"/>
      <c r="AH808" s="181"/>
      <c r="AI808" s="181"/>
      <c r="AJ808" s="181"/>
    </row>
    <row r="809" spans="7:36" ht="13.5" customHeight="1"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  <c r="AC809" s="181"/>
      <c r="AD809" s="181"/>
      <c r="AE809" s="181"/>
      <c r="AF809" s="181"/>
      <c r="AG809" s="181"/>
      <c r="AH809" s="181"/>
      <c r="AI809" s="181"/>
      <c r="AJ809" s="181"/>
    </row>
    <row r="810" spans="7:36" ht="13.5" customHeight="1"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  <c r="AC810" s="181"/>
      <c r="AD810" s="181"/>
      <c r="AE810" s="181"/>
      <c r="AF810" s="181"/>
      <c r="AG810" s="181"/>
      <c r="AH810" s="181"/>
      <c r="AI810" s="181"/>
      <c r="AJ810" s="181"/>
    </row>
    <row r="811" spans="7:36" ht="13.5" customHeight="1"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  <c r="AC811" s="181"/>
      <c r="AD811" s="181"/>
      <c r="AE811" s="181"/>
      <c r="AF811" s="181"/>
      <c r="AG811" s="181"/>
      <c r="AH811" s="181"/>
      <c r="AI811" s="181"/>
      <c r="AJ811" s="181"/>
    </row>
    <row r="812" spans="7:36" ht="13.5" customHeight="1"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  <c r="AC812" s="181"/>
      <c r="AD812" s="181"/>
      <c r="AE812" s="181"/>
      <c r="AF812" s="181"/>
      <c r="AG812" s="181"/>
      <c r="AH812" s="181"/>
      <c r="AI812" s="181"/>
      <c r="AJ812" s="181"/>
    </row>
    <row r="813" spans="7:36" ht="13.5" customHeight="1"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  <c r="AC813" s="181"/>
      <c r="AD813" s="181"/>
      <c r="AE813" s="181"/>
      <c r="AF813" s="181"/>
      <c r="AG813" s="181"/>
      <c r="AH813" s="181"/>
      <c r="AI813" s="181"/>
      <c r="AJ813" s="181"/>
    </row>
    <row r="814" spans="7:36" ht="13.5" customHeight="1"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  <c r="AH814" s="181"/>
      <c r="AI814" s="181"/>
      <c r="AJ814" s="181"/>
    </row>
    <row r="815" spans="7:36" ht="13.5" customHeight="1"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  <c r="AH815" s="181"/>
      <c r="AI815" s="181"/>
      <c r="AJ815" s="181"/>
    </row>
    <row r="816" spans="7:36" ht="13.5" customHeight="1"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  <c r="AC816" s="181"/>
      <c r="AD816" s="181"/>
      <c r="AE816" s="181"/>
      <c r="AF816" s="181"/>
      <c r="AG816" s="181"/>
      <c r="AH816" s="181"/>
      <c r="AI816" s="181"/>
      <c r="AJ816" s="181"/>
    </row>
    <row r="817" spans="7:36" ht="13.5" customHeight="1"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  <c r="AC817" s="181"/>
      <c r="AD817" s="181"/>
      <c r="AE817" s="181"/>
      <c r="AF817" s="181"/>
      <c r="AG817" s="181"/>
      <c r="AH817" s="181"/>
      <c r="AI817" s="181"/>
      <c r="AJ817" s="181"/>
    </row>
    <row r="818" spans="7:36" ht="13.5" customHeight="1"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  <c r="AC818" s="181"/>
      <c r="AD818" s="181"/>
      <c r="AE818" s="181"/>
      <c r="AF818" s="181"/>
      <c r="AG818" s="181"/>
      <c r="AH818" s="181"/>
      <c r="AI818" s="181"/>
      <c r="AJ818" s="181"/>
    </row>
    <row r="819" spans="7:36" ht="13.5" customHeight="1"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  <c r="AC819" s="181"/>
      <c r="AD819" s="181"/>
      <c r="AE819" s="181"/>
      <c r="AF819" s="181"/>
      <c r="AG819" s="181"/>
      <c r="AH819" s="181"/>
      <c r="AI819" s="181"/>
      <c r="AJ819" s="181"/>
    </row>
    <row r="820" spans="7:36" ht="13.5" customHeight="1"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  <c r="AC820" s="181"/>
      <c r="AD820" s="181"/>
      <c r="AE820" s="181"/>
      <c r="AF820" s="181"/>
      <c r="AG820" s="181"/>
      <c r="AH820" s="181"/>
      <c r="AI820" s="181"/>
      <c r="AJ820" s="181"/>
    </row>
    <row r="821" spans="7:36" ht="13.5" customHeight="1"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  <c r="AC821" s="181"/>
      <c r="AD821" s="181"/>
      <c r="AE821" s="181"/>
      <c r="AF821" s="181"/>
      <c r="AG821" s="181"/>
      <c r="AH821" s="181"/>
      <c r="AI821" s="181"/>
      <c r="AJ821" s="181"/>
    </row>
    <row r="822" spans="7:36" ht="13.5" customHeight="1"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  <c r="AC822" s="181"/>
      <c r="AD822" s="181"/>
      <c r="AE822" s="181"/>
      <c r="AF822" s="181"/>
      <c r="AG822" s="181"/>
      <c r="AH822" s="181"/>
      <c r="AI822" s="181"/>
      <c r="AJ822" s="181"/>
    </row>
    <row r="823" spans="7:36" ht="13.5" customHeight="1"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  <c r="AH823" s="181"/>
      <c r="AI823" s="181"/>
      <c r="AJ823" s="181"/>
    </row>
    <row r="824" spans="7:36" ht="13.5" customHeight="1"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  <c r="AH824" s="181"/>
      <c r="AI824" s="181"/>
      <c r="AJ824" s="181"/>
    </row>
    <row r="825" spans="7:36" ht="13.5" customHeight="1"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  <c r="AC825" s="181"/>
      <c r="AD825" s="181"/>
      <c r="AE825" s="181"/>
      <c r="AF825" s="181"/>
      <c r="AG825" s="181"/>
      <c r="AH825" s="181"/>
      <c r="AI825" s="181"/>
      <c r="AJ825" s="181"/>
    </row>
    <row r="826" spans="7:36" ht="13.5" customHeight="1"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  <c r="AC826" s="181"/>
      <c r="AD826" s="181"/>
      <c r="AE826" s="181"/>
      <c r="AF826" s="181"/>
      <c r="AG826" s="181"/>
      <c r="AH826" s="181"/>
      <c r="AI826" s="181"/>
      <c r="AJ826" s="181"/>
    </row>
    <row r="827" spans="7:36" ht="13.5" customHeight="1"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  <c r="AH827" s="181"/>
      <c r="AI827" s="181"/>
      <c r="AJ827" s="181"/>
    </row>
    <row r="828" spans="7:36" ht="13.5" customHeight="1"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  <c r="AH828" s="181"/>
      <c r="AI828" s="181"/>
      <c r="AJ828" s="181"/>
    </row>
    <row r="829" spans="7:36" ht="13.5" customHeight="1"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  <c r="AC829" s="181"/>
      <c r="AD829" s="181"/>
      <c r="AE829" s="181"/>
      <c r="AF829" s="181"/>
      <c r="AG829" s="181"/>
      <c r="AH829" s="181"/>
      <c r="AI829" s="181"/>
      <c r="AJ829" s="181"/>
    </row>
    <row r="830" spans="7:36" ht="13.5" customHeight="1"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  <c r="AC830" s="181"/>
      <c r="AD830" s="181"/>
      <c r="AE830" s="181"/>
      <c r="AF830" s="181"/>
      <c r="AG830" s="181"/>
      <c r="AH830" s="181"/>
      <c r="AI830" s="181"/>
      <c r="AJ830" s="181"/>
    </row>
    <row r="831" spans="7:36" ht="13.5" customHeight="1"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  <c r="AC831" s="181"/>
      <c r="AD831" s="181"/>
      <c r="AE831" s="181"/>
      <c r="AF831" s="181"/>
      <c r="AG831" s="181"/>
      <c r="AH831" s="181"/>
      <c r="AI831" s="181"/>
      <c r="AJ831" s="181"/>
    </row>
    <row r="832" spans="7:36" ht="13.5" customHeight="1"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  <c r="AC832" s="181"/>
      <c r="AD832" s="181"/>
      <c r="AE832" s="181"/>
      <c r="AF832" s="181"/>
      <c r="AG832" s="181"/>
      <c r="AH832" s="181"/>
      <c r="AI832" s="181"/>
      <c r="AJ832" s="181"/>
    </row>
    <row r="833" spans="7:36" ht="13.5" customHeight="1"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  <c r="AH833" s="181"/>
      <c r="AI833" s="181"/>
      <c r="AJ833" s="181"/>
    </row>
    <row r="834" spans="7:36" ht="13.5" customHeight="1"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  <c r="AH834" s="181"/>
      <c r="AI834" s="181"/>
      <c r="AJ834" s="181"/>
    </row>
    <row r="835" spans="7:36" ht="13.5" customHeight="1"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  <c r="AH835" s="181"/>
      <c r="AI835" s="181"/>
      <c r="AJ835" s="181"/>
    </row>
    <row r="836" spans="7:36" ht="13.5" customHeight="1"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  <c r="AH836" s="181"/>
      <c r="AI836" s="181"/>
      <c r="AJ836" s="181"/>
    </row>
    <row r="837" spans="7:36" ht="13.5" customHeight="1"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  <c r="AC837" s="181"/>
      <c r="AD837" s="181"/>
      <c r="AE837" s="181"/>
      <c r="AF837" s="181"/>
      <c r="AG837" s="181"/>
      <c r="AH837" s="181"/>
      <c r="AI837" s="181"/>
      <c r="AJ837" s="181"/>
    </row>
    <row r="838" spans="7:36" ht="13.5" customHeight="1"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  <c r="AC838" s="181"/>
      <c r="AD838" s="181"/>
      <c r="AE838" s="181"/>
      <c r="AF838" s="181"/>
      <c r="AG838" s="181"/>
      <c r="AH838" s="181"/>
      <c r="AI838" s="181"/>
      <c r="AJ838" s="181"/>
    </row>
    <row r="839" spans="7:36" ht="13.5" customHeight="1"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  <c r="AC839" s="181"/>
      <c r="AD839" s="181"/>
      <c r="AE839" s="181"/>
      <c r="AF839" s="181"/>
      <c r="AG839" s="181"/>
      <c r="AH839" s="181"/>
      <c r="AI839" s="181"/>
      <c r="AJ839" s="181"/>
    </row>
    <row r="840" spans="7:36" ht="13.5" customHeight="1"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  <c r="AC840" s="181"/>
      <c r="AD840" s="181"/>
      <c r="AE840" s="181"/>
      <c r="AF840" s="181"/>
      <c r="AG840" s="181"/>
      <c r="AH840" s="181"/>
      <c r="AI840" s="181"/>
      <c r="AJ840" s="181"/>
    </row>
    <row r="841" spans="7:36" ht="13.5" customHeight="1"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  <c r="AC841" s="181"/>
      <c r="AD841" s="181"/>
      <c r="AE841" s="181"/>
      <c r="AF841" s="181"/>
      <c r="AG841" s="181"/>
      <c r="AH841" s="181"/>
      <c r="AI841" s="181"/>
      <c r="AJ841" s="181"/>
    </row>
    <row r="842" spans="7:36" ht="13.5" customHeight="1"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  <c r="AC842" s="181"/>
      <c r="AD842" s="181"/>
      <c r="AE842" s="181"/>
      <c r="AF842" s="181"/>
      <c r="AG842" s="181"/>
      <c r="AH842" s="181"/>
      <c r="AI842" s="181"/>
      <c r="AJ842" s="181"/>
    </row>
    <row r="843" spans="7:36" ht="13.5" customHeight="1"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  <c r="AC843" s="181"/>
      <c r="AD843" s="181"/>
      <c r="AE843" s="181"/>
      <c r="AF843" s="181"/>
      <c r="AG843" s="181"/>
      <c r="AH843" s="181"/>
      <c r="AI843" s="181"/>
      <c r="AJ843" s="181"/>
    </row>
    <row r="844" spans="7:36" ht="13.5" customHeight="1"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  <c r="AC844" s="181"/>
      <c r="AD844" s="181"/>
      <c r="AE844" s="181"/>
      <c r="AF844" s="181"/>
      <c r="AG844" s="181"/>
      <c r="AH844" s="181"/>
      <c r="AI844" s="181"/>
      <c r="AJ844" s="181"/>
    </row>
    <row r="845" spans="7:36" ht="13.5" customHeight="1"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  <c r="AH845" s="181"/>
      <c r="AI845" s="181"/>
      <c r="AJ845" s="181"/>
    </row>
    <row r="846" spans="7:36" ht="13.5" customHeight="1"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  <c r="AH846" s="181"/>
      <c r="AI846" s="181"/>
      <c r="AJ846" s="181"/>
    </row>
    <row r="847" spans="7:36" ht="13.5" customHeight="1"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  <c r="AH847" s="181"/>
      <c r="AI847" s="181"/>
      <c r="AJ847" s="181"/>
    </row>
    <row r="848" spans="7:36" ht="13.5" customHeight="1"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  <c r="AH848" s="181"/>
      <c r="AI848" s="181"/>
      <c r="AJ848" s="181"/>
    </row>
    <row r="849" spans="7:36" ht="13.5" customHeight="1"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  <c r="AH849" s="181"/>
      <c r="AI849" s="181"/>
      <c r="AJ849" s="181"/>
    </row>
    <row r="850" spans="7:36" ht="13.5" customHeight="1"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  <c r="AC850" s="181"/>
      <c r="AD850" s="181"/>
      <c r="AE850" s="181"/>
      <c r="AF850" s="181"/>
      <c r="AG850" s="181"/>
      <c r="AH850" s="181"/>
      <c r="AI850" s="181"/>
      <c r="AJ850" s="181"/>
    </row>
    <row r="851" spans="7:36" ht="13.5" customHeight="1"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  <c r="AH851" s="181"/>
      <c r="AI851" s="181"/>
      <c r="AJ851" s="181"/>
    </row>
    <row r="852" spans="7:36" ht="13.5" customHeight="1"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  <c r="AH852" s="181"/>
      <c r="AI852" s="181"/>
      <c r="AJ852" s="181"/>
    </row>
    <row r="853" spans="7:36" ht="13.5" customHeight="1"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  <c r="AH853" s="181"/>
      <c r="AI853" s="181"/>
      <c r="AJ853" s="181"/>
    </row>
    <row r="854" spans="7:36" ht="13.5" customHeight="1"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  <c r="AH854" s="181"/>
      <c r="AI854" s="181"/>
      <c r="AJ854" s="181"/>
    </row>
    <row r="855" spans="7:36" ht="13.5" customHeight="1"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  <c r="AC855" s="181"/>
      <c r="AD855" s="181"/>
      <c r="AE855" s="181"/>
      <c r="AF855" s="181"/>
      <c r="AG855" s="181"/>
      <c r="AH855" s="181"/>
      <c r="AI855" s="181"/>
      <c r="AJ855" s="181"/>
    </row>
    <row r="856" spans="7:36" ht="13.5" customHeight="1"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  <c r="AC856" s="181"/>
      <c r="AD856" s="181"/>
      <c r="AE856" s="181"/>
      <c r="AF856" s="181"/>
      <c r="AG856" s="181"/>
      <c r="AH856" s="181"/>
      <c r="AI856" s="181"/>
      <c r="AJ856" s="181"/>
    </row>
    <row r="857" spans="7:36" ht="13.5" customHeight="1"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  <c r="AC857" s="181"/>
      <c r="AD857" s="181"/>
      <c r="AE857" s="181"/>
      <c r="AF857" s="181"/>
      <c r="AG857" s="181"/>
      <c r="AH857" s="181"/>
      <c r="AI857" s="181"/>
      <c r="AJ857" s="181"/>
    </row>
    <row r="858" spans="7:36" ht="13.5" customHeight="1"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  <c r="AC858" s="181"/>
      <c r="AD858" s="181"/>
      <c r="AE858" s="181"/>
      <c r="AF858" s="181"/>
      <c r="AG858" s="181"/>
      <c r="AH858" s="181"/>
      <c r="AI858" s="181"/>
      <c r="AJ858" s="181"/>
    </row>
    <row r="859" spans="7:36" ht="13.5" customHeight="1"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  <c r="AH859" s="181"/>
      <c r="AI859" s="181"/>
      <c r="AJ859" s="181"/>
    </row>
    <row r="860" spans="7:36" ht="13.5" customHeight="1"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  <c r="AH860" s="181"/>
      <c r="AI860" s="181"/>
      <c r="AJ860" s="181"/>
    </row>
    <row r="861" spans="7:36" ht="13.5" customHeight="1"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  <c r="AH861" s="181"/>
      <c r="AI861" s="181"/>
      <c r="AJ861" s="181"/>
    </row>
    <row r="862" spans="7:36" ht="13.5" customHeight="1"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  <c r="AH862" s="181"/>
      <c r="AI862" s="181"/>
      <c r="AJ862" s="181"/>
    </row>
    <row r="863" spans="7:36" ht="13.5" customHeight="1"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  <c r="AC863" s="181"/>
      <c r="AD863" s="181"/>
      <c r="AE863" s="181"/>
      <c r="AF863" s="181"/>
      <c r="AG863" s="181"/>
      <c r="AH863" s="181"/>
      <c r="AI863" s="181"/>
      <c r="AJ863" s="181"/>
    </row>
    <row r="864" spans="7:36" ht="13.5" customHeight="1"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  <c r="AC864" s="181"/>
      <c r="AD864" s="181"/>
      <c r="AE864" s="181"/>
      <c r="AF864" s="181"/>
      <c r="AG864" s="181"/>
      <c r="AH864" s="181"/>
      <c r="AI864" s="181"/>
      <c r="AJ864" s="181"/>
    </row>
    <row r="865" spans="7:36" ht="13.5" customHeight="1"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  <c r="AH865" s="181"/>
      <c r="AI865" s="181"/>
      <c r="AJ865" s="181"/>
    </row>
    <row r="866" spans="7:36" ht="13.5" customHeight="1"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  <c r="AH866" s="181"/>
      <c r="AI866" s="181"/>
      <c r="AJ866" s="181"/>
    </row>
    <row r="867" spans="7:36" ht="13.5" customHeight="1"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  <c r="AC867" s="181"/>
      <c r="AD867" s="181"/>
      <c r="AE867" s="181"/>
      <c r="AF867" s="181"/>
      <c r="AG867" s="181"/>
      <c r="AH867" s="181"/>
      <c r="AI867" s="181"/>
      <c r="AJ867" s="181"/>
    </row>
    <row r="868" spans="7:36" ht="13.5" customHeight="1"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  <c r="AC868" s="181"/>
      <c r="AD868" s="181"/>
      <c r="AE868" s="181"/>
      <c r="AF868" s="181"/>
      <c r="AG868" s="181"/>
      <c r="AH868" s="181"/>
      <c r="AI868" s="181"/>
      <c r="AJ868" s="181"/>
    </row>
    <row r="869" spans="7:36" ht="13.5" customHeight="1"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  <c r="AH869" s="181"/>
      <c r="AI869" s="181"/>
      <c r="AJ869" s="181"/>
    </row>
    <row r="870" spans="7:36" ht="13.5" customHeight="1"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  <c r="AH870" s="181"/>
      <c r="AI870" s="181"/>
      <c r="AJ870" s="181"/>
    </row>
    <row r="871" spans="7:36" ht="13.5" customHeight="1"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  <c r="AC871" s="181"/>
      <c r="AD871" s="181"/>
      <c r="AE871" s="181"/>
      <c r="AF871" s="181"/>
      <c r="AG871" s="181"/>
      <c r="AH871" s="181"/>
      <c r="AI871" s="181"/>
      <c r="AJ871" s="181"/>
    </row>
    <row r="872" spans="7:36" ht="13.5" customHeight="1"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  <c r="AC872" s="181"/>
      <c r="AD872" s="181"/>
      <c r="AE872" s="181"/>
      <c r="AF872" s="181"/>
      <c r="AG872" s="181"/>
      <c r="AH872" s="181"/>
      <c r="AI872" s="181"/>
      <c r="AJ872" s="181"/>
    </row>
    <row r="873" spans="7:36" ht="13.5" customHeight="1"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  <c r="AC873" s="181"/>
      <c r="AD873" s="181"/>
      <c r="AE873" s="181"/>
      <c r="AF873" s="181"/>
      <c r="AG873" s="181"/>
      <c r="AH873" s="181"/>
      <c r="AI873" s="181"/>
      <c r="AJ873" s="181"/>
    </row>
    <row r="874" spans="7:36" ht="13.5" customHeight="1"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  <c r="AC874" s="181"/>
      <c r="AD874" s="181"/>
      <c r="AE874" s="181"/>
      <c r="AF874" s="181"/>
      <c r="AG874" s="181"/>
      <c r="AH874" s="181"/>
      <c r="AI874" s="181"/>
      <c r="AJ874" s="181"/>
    </row>
    <row r="875" spans="7:36" ht="13.5" customHeight="1"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  <c r="AH875" s="181"/>
      <c r="AI875" s="181"/>
      <c r="AJ875" s="181"/>
    </row>
    <row r="876" spans="7:36" ht="13.5" customHeight="1"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  <c r="AH876" s="181"/>
      <c r="AI876" s="181"/>
      <c r="AJ876" s="181"/>
    </row>
    <row r="877" spans="7:36" ht="13.5" customHeight="1"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  <c r="AH877" s="181"/>
      <c r="AI877" s="181"/>
      <c r="AJ877" s="181"/>
    </row>
    <row r="878" spans="7:36" ht="13.5" customHeight="1"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  <c r="AH878" s="181"/>
      <c r="AI878" s="181"/>
      <c r="AJ878" s="181"/>
    </row>
    <row r="879" spans="7:36" ht="13.5" customHeight="1"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  <c r="AH879" s="181"/>
      <c r="AI879" s="181"/>
      <c r="AJ879" s="181"/>
    </row>
    <row r="880" spans="7:36" ht="13.5" customHeight="1"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  <c r="AH880" s="181"/>
      <c r="AI880" s="181"/>
      <c r="AJ880" s="181"/>
    </row>
    <row r="881" spans="7:36" ht="13.5" customHeight="1"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  <c r="AH881" s="181"/>
      <c r="AI881" s="181"/>
      <c r="AJ881" s="181"/>
    </row>
    <row r="882" spans="7:36" ht="13.5" customHeight="1"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  <c r="AH882" s="181"/>
      <c r="AI882" s="181"/>
      <c r="AJ882" s="181"/>
    </row>
    <row r="883" spans="7:36" ht="13.5" customHeight="1"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  <c r="AH883" s="181"/>
      <c r="AI883" s="181"/>
      <c r="AJ883" s="181"/>
    </row>
    <row r="884" spans="7:36" ht="13.5" customHeight="1"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  <c r="AH884" s="181"/>
      <c r="AI884" s="181"/>
      <c r="AJ884" s="181"/>
    </row>
    <row r="885" spans="7:36" ht="13.5" customHeight="1"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  <c r="AC885" s="181"/>
      <c r="AD885" s="181"/>
      <c r="AE885" s="181"/>
      <c r="AF885" s="181"/>
      <c r="AG885" s="181"/>
      <c r="AH885" s="181"/>
      <c r="AI885" s="181"/>
      <c r="AJ885" s="181"/>
    </row>
    <row r="886" spans="7:36" ht="13.5" customHeight="1"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  <c r="AC886" s="181"/>
      <c r="AD886" s="181"/>
      <c r="AE886" s="181"/>
      <c r="AF886" s="181"/>
      <c r="AG886" s="181"/>
      <c r="AH886" s="181"/>
      <c r="AI886" s="181"/>
      <c r="AJ886" s="181"/>
    </row>
    <row r="887" spans="7:36" ht="13.5" customHeight="1"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  <c r="AC887" s="181"/>
      <c r="AD887" s="181"/>
      <c r="AE887" s="181"/>
      <c r="AF887" s="181"/>
      <c r="AG887" s="181"/>
      <c r="AH887" s="181"/>
      <c r="AI887" s="181"/>
      <c r="AJ887" s="181"/>
    </row>
    <row r="888" spans="7:36" ht="13.5" customHeight="1"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  <c r="AC888" s="181"/>
      <c r="AD888" s="181"/>
      <c r="AE888" s="181"/>
      <c r="AF888" s="181"/>
      <c r="AG888" s="181"/>
      <c r="AH888" s="181"/>
      <c r="AI888" s="181"/>
      <c r="AJ888" s="181"/>
    </row>
    <row r="889" spans="7:36" ht="13.5" customHeight="1"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  <c r="AC889" s="181"/>
      <c r="AD889" s="181"/>
      <c r="AE889" s="181"/>
      <c r="AF889" s="181"/>
      <c r="AG889" s="181"/>
      <c r="AH889" s="181"/>
      <c r="AI889" s="181"/>
      <c r="AJ889" s="181"/>
    </row>
    <row r="890" spans="7:36" ht="13.5" customHeight="1"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  <c r="AC890" s="181"/>
      <c r="AD890" s="181"/>
      <c r="AE890" s="181"/>
      <c r="AF890" s="181"/>
      <c r="AG890" s="181"/>
      <c r="AH890" s="181"/>
      <c r="AI890" s="181"/>
      <c r="AJ890" s="181"/>
    </row>
    <row r="891" spans="7:36" ht="13.5" customHeight="1"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  <c r="AC891" s="181"/>
      <c r="AD891" s="181"/>
      <c r="AE891" s="181"/>
      <c r="AF891" s="181"/>
      <c r="AG891" s="181"/>
      <c r="AH891" s="181"/>
      <c r="AI891" s="181"/>
      <c r="AJ891" s="181"/>
    </row>
    <row r="892" spans="7:36" ht="13.5" customHeight="1"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  <c r="AC892" s="181"/>
      <c r="AD892" s="181"/>
      <c r="AE892" s="181"/>
      <c r="AF892" s="181"/>
      <c r="AG892" s="181"/>
      <c r="AH892" s="181"/>
      <c r="AI892" s="181"/>
      <c r="AJ892" s="181"/>
    </row>
    <row r="893" spans="7:36" ht="13.5" customHeight="1"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  <c r="AH893" s="181"/>
      <c r="AI893" s="181"/>
      <c r="AJ893" s="181"/>
    </row>
    <row r="894" spans="7:36" ht="13.5" customHeight="1"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  <c r="AH894" s="181"/>
      <c r="AI894" s="181"/>
      <c r="AJ894" s="181"/>
    </row>
    <row r="895" spans="7:36" ht="13.5" customHeight="1"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  <c r="AH895" s="181"/>
      <c r="AI895" s="181"/>
      <c r="AJ895" s="181"/>
    </row>
    <row r="896" spans="7:36" ht="13.5" customHeight="1"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  <c r="AH896" s="181"/>
      <c r="AI896" s="181"/>
      <c r="AJ896" s="181"/>
    </row>
    <row r="897" spans="7:36" ht="13.5" customHeight="1"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  <c r="AH897" s="181"/>
      <c r="AI897" s="181"/>
      <c r="AJ897" s="181"/>
    </row>
    <row r="898" spans="7:36" ht="13.5" customHeight="1"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  <c r="AH898" s="181"/>
      <c r="AI898" s="181"/>
      <c r="AJ898" s="181"/>
    </row>
    <row r="899" spans="7:36" ht="13.5" customHeight="1"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  <c r="AH899" s="181"/>
      <c r="AI899" s="181"/>
      <c r="AJ899" s="181"/>
    </row>
    <row r="900" spans="7:36" ht="13.5" customHeight="1"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  <c r="AH900" s="181"/>
      <c r="AI900" s="181"/>
      <c r="AJ900" s="181"/>
    </row>
    <row r="901" spans="7:36" ht="13.5" customHeight="1"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  <c r="AH901" s="181"/>
      <c r="AI901" s="181"/>
      <c r="AJ901" s="181"/>
    </row>
    <row r="902" spans="7:36" ht="13.5" customHeight="1"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  <c r="AH902" s="181"/>
      <c r="AI902" s="181"/>
      <c r="AJ902" s="181"/>
    </row>
    <row r="903" spans="7:36" ht="13.5" customHeight="1"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  <c r="AH903" s="181"/>
      <c r="AI903" s="181"/>
      <c r="AJ903" s="181"/>
    </row>
    <row r="904" spans="7:36" ht="13.5" customHeight="1"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  <c r="AH904" s="181"/>
      <c r="AI904" s="181"/>
      <c r="AJ904" s="181"/>
    </row>
    <row r="905" spans="7:36" ht="13.5" customHeight="1"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  <c r="AH905" s="181"/>
      <c r="AI905" s="181"/>
      <c r="AJ905" s="181"/>
    </row>
    <row r="906" spans="7:36" ht="13.5" customHeight="1"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  <c r="AH906" s="181"/>
      <c r="AI906" s="181"/>
      <c r="AJ906" s="181"/>
    </row>
    <row r="907" spans="7:36" ht="13.5" customHeight="1"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  <c r="AH907" s="181"/>
      <c r="AI907" s="181"/>
      <c r="AJ907" s="181"/>
    </row>
    <row r="908" spans="7:36" ht="13.5" customHeight="1"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  <c r="AH908" s="181"/>
      <c r="AI908" s="181"/>
      <c r="AJ908" s="181"/>
    </row>
    <row r="909" spans="7:36" ht="13.5" customHeight="1"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  <c r="AH909" s="181"/>
      <c r="AI909" s="181"/>
      <c r="AJ909" s="181"/>
    </row>
    <row r="910" spans="7:36" ht="13.5" customHeight="1"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  <c r="AH910" s="181"/>
      <c r="AI910" s="181"/>
      <c r="AJ910" s="181"/>
    </row>
    <row r="911" spans="7:36" ht="13.5" customHeight="1"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  <c r="AC911" s="181"/>
      <c r="AD911" s="181"/>
      <c r="AE911" s="181"/>
      <c r="AF911" s="181"/>
      <c r="AG911" s="181"/>
      <c r="AH911" s="181"/>
      <c r="AI911" s="181"/>
      <c r="AJ911" s="181"/>
    </row>
    <row r="912" spans="7:36" ht="13.5" customHeight="1"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  <c r="AC912" s="181"/>
      <c r="AD912" s="181"/>
      <c r="AE912" s="181"/>
      <c r="AF912" s="181"/>
      <c r="AG912" s="181"/>
      <c r="AH912" s="181"/>
      <c r="AI912" s="181"/>
      <c r="AJ912" s="181"/>
    </row>
    <row r="913" spans="7:36" ht="13.5" customHeight="1"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  <c r="AC913" s="181"/>
      <c r="AD913" s="181"/>
      <c r="AE913" s="181"/>
      <c r="AF913" s="181"/>
      <c r="AG913" s="181"/>
      <c r="AH913" s="181"/>
      <c r="AI913" s="181"/>
      <c r="AJ913" s="181"/>
    </row>
    <row r="914" spans="7:36" ht="13.5" customHeight="1"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  <c r="AC914" s="181"/>
      <c r="AD914" s="181"/>
      <c r="AE914" s="181"/>
      <c r="AF914" s="181"/>
      <c r="AG914" s="181"/>
      <c r="AH914" s="181"/>
      <c r="AI914" s="181"/>
      <c r="AJ914" s="181"/>
    </row>
    <row r="915" spans="7:36" ht="13.5" customHeight="1"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  <c r="AA915" s="181"/>
      <c r="AB915" s="181"/>
      <c r="AC915" s="181"/>
      <c r="AD915" s="181"/>
      <c r="AE915" s="181"/>
      <c r="AF915" s="181"/>
      <c r="AG915" s="181"/>
      <c r="AH915" s="181"/>
      <c r="AI915" s="181"/>
      <c r="AJ915" s="181"/>
    </row>
    <row r="916" spans="7:36" ht="13.5" customHeight="1"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  <c r="AA916" s="181"/>
      <c r="AB916" s="181"/>
      <c r="AC916" s="181"/>
      <c r="AD916" s="181"/>
      <c r="AE916" s="181"/>
      <c r="AF916" s="181"/>
      <c r="AG916" s="181"/>
      <c r="AH916" s="181"/>
      <c r="AI916" s="181"/>
      <c r="AJ916" s="181"/>
    </row>
    <row r="917" spans="7:36" ht="13.5" customHeight="1"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  <c r="AA917" s="181"/>
      <c r="AB917" s="181"/>
      <c r="AC917" s="181"/>
      <c r="AD917" s="181"/>
      <c r="AE917" s="181"/>
      <c r="AF917" s="181"/>
      <c r="AG917" s="181"/>
      <c r="AH917" s="181"/>
      <c r="AI917" s="181"/>
      <c r="AJ917" s="181"/>
    </row>
    <row r="918" spans="7:36" ht="13.5" customHeight="1"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  <c r="AA918" s="181"/>
      <c r="AB918" s="181"/>
      <c r="AC918" s="181"/>
      <c r="AD918" s="181"/>
      <c r="AE918" s="181"/>
      <c r="AF918" s="181"/>
      <c r="AG918" s="181"/>
      <c r="AH918" s="181"/>
      <c r="AI918" s="181"/>
      <c r="AJ918" s="181"/>
    </row>
    <row r="919" spans="7:36" ht="13.5" customHeight="1"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  <c r="AA919" s="181"/>
      <c r="AB919" s="181"/>
      <c r="AC919" s="181"/>
      <c r="AD919" s="181"/>
      <c r="AE919" s="181"/>
      <c r="AF919" s="181"/>
      <c r="AG919" s="181"/>
      <c r="AH919" s="181"/>
      <c r="AI919" s="181"/>
      <c r="AJ919" s="181"/>
    </row>
    <row r="920" spans="7:36" ht="13.5" customHeight="1"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  <c r="AH920" s="181"/>
      <c r="AI920" s="181"/>
      <c r="AJ920" s="181"/>
    </row>
    <row r="921" spans="7:36" ht="13.5" customHeight="1"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  <c r="AH921" s="181"/>
      <c r="AI921" s="181"/>
      <c r="AJ921" s="181"/>
    </row>
    <row r="922" spans="7:36" ht="13.5" customHeight="1"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  <c r="AA922" s="181"/>
      <c r="AB922" s="181"/>
      <c r="AC922" s="181"/>
      <c r="AD922" s="181"/>
      <c r="AE922" s="181"/>
      <c r="AF922" s="181"/>
      <c r="AG922" s="181"/>
      <c r="AH922" s="181"/>
      <c r="AI922" s="181"/>
      <c r="AJ922" s="181"/>
    </row>
    <row r="923" spans="7:36" ht="13.5" customHeight="1"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  <c r="AA923" s="181"/>
      <c r="AB923" s="181"/>
      <c r="AC923" s="181"/>
      <c r="AD923" s="181"/>
      <c r="AE923" s="181"/>
      <c r="AF923" s="181"/>
      <c r="AG923" s="181"/>
      <c r="AH923" s="181"/>
      <c r="AI923" s="181"/>
      <c r="AJ923" s="181"/>
    </row>
    <row r="924" spans="7:36" ht="13.5" customHeight="1"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  <c r="AA924" s="181"/>
      <c r="AB924" s="181"/>
      <c r="AC924" s="181"/>
      <c r="AD924" s="181"/>
      <c r="AE924" s="181"/>
      <c r="AF924" s="181"/>
      <c r="AG924" s="181"/>
      <c r="AH924" s="181"/>
      <c r="AI924" s="181"/>
      <c r="AJ924" s="181"/>
    </row>
    <row r="925" spans="7:36" ht="13.5" customHeight="1"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  <c r="AA925" s="181"/>
      <c r="AB925" s="181"/>
      <c r="AC925" s="181"/>
      <c r="AD925" s="181"/>
      <c r="AE925" s="181"/>
      <c r="AF925" s="181"/>
      <c r="AG925" s="181"/>
      <c r="AH925" s="181"/>
      <c r="AI925" s="181"/>
      <c r="AJ925" s="181"/>
    </row>
    <row r="926" spans="7:36" ht="13.5" customHeight="1"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  <c r="AA926" s="181"/>
      <c r="AB926" s="181"/>
      <c r="AC926" s="181"/>
      <c r="AD926" s="181"/>
      <c r="AE926" s="181"/>
      <c r="AF926" s="181"/>
      <c r="AG926" s="181"/>
      <c r="AH926" s="181"/>
      <c r="AI926" s="181"/>
      <c r="AJ926" s="181"/>
    </row>
    <row r="927" spans="7:36" ht="13.5" customHeight="1"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  <c r="AA927" s="181"/>
      <c r="AB927" s="181"/>
      <c r="AC927" s="181"/>
      <c r="AD927" s="181"/>
      <c r="AE927" s="181"/>
      <c r="AF927" s="181"/>
      <c r="AG927" s="181"/>
      <c r="AH927" s="181"/>
      <c r="AI927" s="181"/>
      <c r="AJ927" s="181"/>
    </row>
    <row r="928" spans="7:36" ht="13.5" customHeight="1"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  <c r="AH928" s="181"/>
      <c r="AI928" s="181"/>
      <c r="AJ928" s="181"/>
    </row>
    <row r="929" spans="7:36" ht="13.5" customHeight="1"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  <c r="AH929" s="181"/>
      <c r="AI929" s="181"/>
      <c r="AJ929" s="181"/>
    </row>
    <row r="930" spans="7:36" ht="13.5" customHeight="1"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  <c r="AA930" s="181"/>
      <c r="AB930" s="181"/>
      <c r="AC930" s="181"/>
      <c r="AD930" s="181"/>
      <c r="AE930" s="181"/>
      <c r="AF930" s="181"/>
      <c r="AG930" s="181"/>
      <c r="AH930" s="181"/>
      <c r="AI930" s="181"/>
      <c r="AJ930" s="181"/>
    </row>
    <row r="931" spans="7:36" ht="13.5" customHeight="1"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  <c r="AA931" s="181"/>
      <c r="AB931" s="181"/>
      <c r="AC931" s="181"/>
      <c r="AD931" s="181"/>
      <c r="AE931" s="181"/>
      <c r="AF931" s="181"/>
      <c r="AG931" s="181"/>
      <c r="AH931" s="181"/>
      <c r="AI931" s="181"/>
      <c r="AJ931" s="181"/>
    </row>
    <row r="932" spans="7:36" ht="13.5" customHeight="1"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  <c r="AH932" s="181"/>
      <c r="AI932" s="181"/>
      <c r="AJ932" s="181"/>
    </row>
    <row r="933" spans="7:36" ht="13.5" customHeight="1"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  <c r="AH933" s="181"/>
      <c r="AI933" s="181"/>
      <c r="AJ933" s="181"/>
    </row>
    <row r="934" spans="7:36" ht="13.5" customHeight="1"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  <c r="AA934" s="181"/>
      <c r="AB934" s="181"/>
      <c r="AC934" s="181"/>
      <c r="AD934" s="181"/>
      <c r="AE934" s="181"/>
      <c r="AF934" s="181"/>
      <c r="AG934" s="181"/>
      <c r="AH934" s="181"/>
      <c r="AI934" s="181"/>
      <c r="AJ934" s="181"/>
    </row>
    <row r="935" spans="7:36" ht="13.5" customHeight="1"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  <c r="AA935" s="181"/>
      <c r="AB935" s="181"/>
      <c r="AC935" s="181"/>
      <c r="AD935" s="181"/>
      <c r="AE935" s="181"/>
      <c r="AF935" s="181"/>
      <c r="AG935" s="181"/>
      <c r="AH935" s="181"/>
      <c r="AI935" s="181"/>
      <c r="AJ935" s="181"/>
    </row>
    <row r="936" spans="7:36" ht="13.5" customHeight="1"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  <c r="AA936" s="181"/>
      <c r="AB936" s="181"/>
      <c r="AC936" s="181"/>
      <c r="AD936" s="181"/>
      <c r="AE936" s="181"/>
      <c r="AF936" s="181"/>
      <c r="AG936" s="181"/>
      <c r="AH936" s="181"/>
      <c r="AI936" s="181"/>
      <c r="AJ936" s="181"/>
    </row>
    <row r="937" spans="7:36" ht="13.5" customHeight="1"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  <c r="AA937" s="181"/>
      <c r="AB937" s="181"/>
      <c r="AC937" s="181"/>
      <c r="AD937" s="181"/>
      <c r="AE937" s="181"/>
      <c r="AF937" s="181"/>
      <c r="AG937" s="181"/>
      <c r="AH937" s="181"/>
      <c r="AI937" s="181"/>
      <c r="AJ937" s="181"/>
    </row>
    <row r="938" spans="7:36" ht="13.5" customHeight="1"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  <c r="AA938" s="181"/>
      <c r="AB938" s="181"/>
      <c r="AC938" s="181"/>
      <c r="AD938" s="181"/>
      <c r="AE938" s="181"/>
      <c r="AF938" s="181"/>
      <c r="AG938" s="181"/>
      <c r="AH938" s="181"/>
      <c r="AI938" s="181"/>
      <c r="AJ938" s="181"/>
    </row>
    <row r="939" spans="7:36" ht="13.5" customHeight="1"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  <c r="AA939" s="181"/>
      <c r="AB939" s="181"/>
      <c r="AC939" s="181"/>
      <c r="AD939" s="181"/>
      <c r="AE939" s="181"/>
      <c r="AF939" s="181"/>
      <c r="AG939" s="181"/>
      <c r="AH939" s="181"/>
      <c r="AI939" s="181"/>
      <c r="AJ939" s="181"/>
    </row>
    <row r="940" spans="7:36" ht="13.5" customHeight="1"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  <c r="AA940" s="181"/>
      <c r="AB940" s="181"/>
      <c r="AC940" s="181"/>
      <c r="AD940" s="181"/>
      <c r="AE940" s="181"/>
      <c r="AF940" s="181"/>
      <c r="AG940" s="181"/>
      <c r="AH940" s="181"/>
      <c r="AI940" s="181"/>
      <c r="AJ940" s="181"/>
    </row>
    <row r="941" spans="7:36" ht="13.5" customHeight="1"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  <c r="AA941" s="181"/>
      <c r="AB941" s="181"/>
      <c r="AC941" s="181"/>
      <c r="AD941" s="181"/>
      <c r="AE941" s="181"/>
      <c r="AF941" s="181"/>
      <c r="AG941" s="181"/>
      <c r="AH941" s="181"/>
      <c r="AI941" s="181"/>
      <c r="AJ941" s="181"/>
    </row>
    <row r="942" spans="7:36" ht="13.5" customHeight="1"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  <c r="AA942" s="181"/>
      <c r="AB942" s="181"/>
      <c r="AC942" s="181"/>
      <c r="AD942" s="181"/>
      <c r="AE942" s="181"/>
      <c r="AF942" s="181"/>
      <c r="AG942" s="181"/>
      <c r="AH942" s="181"/>
      <c r="AI942" s="181"/>
      <c r="AJ942" s="181"/>
    </row>
    <row r="943" spans="7:36" ht="13.5" customHeight="1"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  <c r="AA943" s="181"/>
      <c r="AB943" s="181"/>
      <c r="AC943" s="181"/>
      <c r="AD943" s="181"/>
      <c r="AE943" s="181"/>
      <c r="AF943" s="181"/>
      <c r="AG943" s="181"/>
      <c r="AH943" s="181"/>
      <c r="AI943" s="181"/>
      <c r="AJ943" s="181"/>
    </row>
    <row r="944" spans="7:36" ht="13.5" customHeight="1"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  <c r="AA944" s="181"/>
      <c r="AB944" s="181"/>
      <c r="AC944" s="181"/>
      <c r="AD944" s="181"/>
      <c r="AE944" s="181"/>
      <c r="AF944" s="181"/>
      <c r="AG944" s="181"/>
      <c r="AH944" s="181"/>
      <c r="AI944" s="181"/>
      <c r="AJ944" s="181"/>
    </row>
    <row r="945" spans="7:36" ht="13.5" customHeight="1"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  <c r="AA945" s="181"/>
      <c r="AB945" s="181"/>
      <c r="AC945" s="181"/>
      <c r="AD945" s="181"/>
      <c r="AE945" s="181"/>
      <c r="AF945" s="181"/>
      <c r="AG945" s="181"/>
      <c r="AH945" s="181"/>
      <c r="AI945" s="181"/>
      <c r="AJ945" s="181"/>
    </row>
    <row r="946" spans="7:36" ht="13.5" customHeight="1"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  <c r="AA946" s="181"/>
      <c r="AB946" s="181"/>
      <c r="AC946" s="181"/>
      <c r="AD946" s="181"/>
      <c r="AE946" s="181"/>
      <c r="AF946" s="181"/>
      <c r="AG946" s="181"/>
      <c r="AH946" s="181"/>
      <c r="AI946" s="181"/>
      <c r="AJ946" s="181"/>
    </row>
    <row r="947" spans="7:36" ht="13.5" customHeight="1"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  <c r="AA947" s="181"/>
      <c r="AB947" s="181"/>
      <c r="AC947" s="181"/>
      <c r="AD947" s="181"/>
      <c r="AE947" s="181"/>
      <c r="AF947" s="181"/>
      <c r="AG947" s="181"/>
      <c r="AH947" s="181"/>
      <c r="AI947" s="181"/>
      <c r="AJ947" s="181"/>
    </row>
    <row r="948" spans="7:36" ht="13.5" customHeight="1"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  <c r="AA948" s="181"/>
      <c r="AB948" s="181"/>
      <c r="AC948" s="181"/>
      <c r="AD948" s="181"/>
      <c r="AE948" s="181"/>
      <c r="AF948" s="181"/>
      <c r="AG948" s="181"/>
      <c r="AH948" s="181"/>
      <c r="AI948" s="181"/>
      <c r="AJ948" s="181"/>
    </row>
    <row r="949" spans="7:36" ht="13.5" customHeight="1"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  <c r="AA949" s="181"/>
      <c r="AB949" s="181"/>
      <c r="AC949" s="181"/>
      <c r="AD949" s="181"/>
      <c r="AE949" s="181"/>
      <c r="AF949" s="181"/>
      <c r="AG949" s="181"/>
      <c r="AH949" s="181"/>
      <c r="AI949" s="181"/>
      <c r="AJ949" s="181"/>
    </row>
    <row r="950" spans="7:36" ht="13.5" customHeight="1"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  <c r="AA950" s="181"/>
      <c r="AB950" s="181"/>
      <c r="AC950" s="181"/>
      <c r="AD950" s="181"/>
      <c r="AE950" s="181"/>
      <c r="AF950" s="181"/>
      <c r="AG950" s="181"/>
      <c r="AH950" s="181"/>
      <c r="AI950" s="181"/>
      <c r="AJ950" s="181"/>
    </row>
    <row r="951" spans="7:36" ht="13.5" customHeight="1"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  <c r="AA951" s="181"/>
      <c r="AB951" s="181"/>
      <c r="AC951" s="181"/>
      <c r="AD951" s="181"/>
      <c r="AE951" s="181"/>
      <c r="AF951" s="181"/>
      <c r="AG951" s="181"/>
      <c r="AH951" s="181"/>
      <c r="AI951" s="181"/>
      <c r="AJ951" s="181"/>
    </row>
    <row r="952" spans="7:36" ht="13.5" customHeight="1"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  <c r="AA952" s="181"/>
      <c r="AB952" s="181"/>
      <c r="AC952" s="181"/>
      <c r="AD952" s="181"/>
      <c r="AE952" s="181"/>
      <c r="AF952" s="181"/>
      <c r="AG952" s="181"/>
      <c r="AH952" s="181"/>
      <c r="AI952" s="181"/>
      <c r="AJ952" s="181"/>
    </row>
    <row r="953" spans="7:36" ht="13.5" customHeight="1"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  <c r="AA953" s="181"/>
      <c r="AB953" s="181"/>
      <c r="AC953" s="181"/>
      <c r="AD953" s="181"/>
      <c r="AE953" s="181"/>
      <c r="AF953" s="181"/>
      <c r="AG953" s="181"/>
      <c r="AH953" s="181"/>
      <c r="AI953" s="181"/>
      <c r="AJ953" s="181"/>
    </row>
    <row r="954" spans="7:36" ht="13.5" customHeight="1"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  <c r="AA954" s="181"/>
      <c r="AB954" s="181"/>
      <c r="AC954" s="181"/>
      <c r="AD954" s="181"/>
      <c r="AE954" s="181"/>
      <c r="AF954" s="181"/>
      <c r="AG954" s="181"/>
      <c r="AH954" s="181"/>
      <c r="AI954" s="181"/>
      <c r="AJ954" s="181"/>
    </row>
    <row r="955" spans="7:36" ht="13.5" customHeight="1"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  <c r="AA955" s="181"/>
      <c r="AB955" s="181"/>
      <c r="AC955" s="181"/>
      <c r="AD955" s="181"/>
      <c r="AE955" s="181"/>
      <c r="AF955" s="181"/>
      <c r="AG955" s="181"/>
      <c r="AH955" s="181"/>
      <c r="AI955" s="181"/>
      <c r="AJ955" s="181"/>
    </row>
    <row r="956" spans="7:36" ht="13.5" customHeight="1"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  <c r="AA956" s="181"/>
      <c r="AB956" s="181"/>
      <c r="AC956" s="181"/>
      <c r="AD956" s="181"/>
      <c r="AE956" s="181"/>
      <c r="AF956" s="181"/>
      <c r="AG956" s="181"/>
      <c r="AH956" s="181"/>
      <c r="AI956" s="181"/>
      <c r="AJ956" s="181"/>
    </row>
    <row r="957" spans="7:36" ht="13.5" customHeight="1"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  <c r="AA957" s="181"/>
      <c r="AB957" s="181"/>
      <c r="AC957" s="181"/>
      <c r="AD957" s="181"/>
      <c r="AE957" s="181"/>
      <c r="AF957" s="181"/>
      <c r="AG957" s="181"/>
      <c r="AH957" s="181"/>
      <c r="AI957" s="181"/>
      <c r="AJ957" s="181"/>
    </row>
    <row r="958" spans="7:36" ht="13.5" customHeight="1"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  <c r="AH958" s="181"/>
      <c r="AI958" s="181"/>
      <c r="AJ958" s="181"/>
    </row>
    <row r="959" spans="7:36" ht="13.5" customHeight="1"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  <c r="AH959" s="181"/>
      <c r="AI959" s="181"/>
      <c r="AJ959" s="181"/>
    </row>
    <row r="960" spans="7:36" ht="13.5" customHeight="1"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  <c r="AA960" s="181"/>
      <c r="AB960" s="181"/>
      <c r="AC960" s="181"/>
      <c r="AD960" s="181"/>
      <c r="AE960" s="181"/>
      <c r="AF960" s="181"/>
      <c r="AG960" s="181"/>
      <c r="AH960" s="181"/>
      <c r="AI960" s="181"/>
      <c r="AJ960" s="181"/>
    </row>
    <row r="961" spans="7:36" ht="13.5" customHeight="1"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  <c r="AA961" s="181"/>
      <c r="AB961" s="181"/>
      <c r="AC961" s="181"/>
      <c r="AD961" s="181"/>
      <c r="AE961" s="181"/>
      <c r="AF961" s="181"/>
      <c r="AG961" s="181"/>
      <c r="AH961" s="181"/>
      <c r="AI961" s="181"/>
      <c r="AJ961" s="181"/>
    </row>
    <row r="962" spans="7:36" ht="13.5" customHeight="1"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  <c r="AA962" s="181"/>
      <c r="AB962" s="181"/>
      <c r="AC962" s="181"/>
      <c r="AD962" s="181"/>
      <c r="AE962" s="181"/>
      <c r="AF962" s="181"/>
      <c r="AG962" s="181"/>
      <c r="AH962" s="181"/>
      <c r="AI962" s="181"/>
      <c r="AJ962" s="181"/>
    </row>
    <row r="963" spans="7:36" ht="13.5" customHeight="1"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  <c r="AA963" s="181"/>
      <c r="AB963" s="181"/>
      <c r="AC963" s="181"/>
      <c r="AD963" s="181"/>
      <c r="AE963" s="181"/>
      <c r="AF963" s="181"/>
      <c r="AG963" s="181"/>
      <c r="AH963" s="181"/>
      <c r="AI963" s="181"/>
      <c r="AJ963" s="181"/>
    </row>
    <row r="964" spans="7:36" ht="13.5" customHeight="1"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  <c r="AA964" s="181"/>
      <c r="AB964" s="181"/>
      <c r="AC964" s="181"/>
      <c r="AD964" s="181"/>
      <c r="AE964" s="181"/>
      <c r="AF964" s="181"/>
      <c r="AG964" s="181"/>
      <c r="AH964" s="181"/>
      <c r="AI964" s="181"/>
      <c r="AJ964" s="181"/>
    </row>
    <row r="965" spans="7:36" ht="13.5" customHeight="1"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  <c r="AA965" s="181"/>
      <c r="AB965" s="181"/>
      <c r="AC965" s="181"/>
      <c r="AD965" s="181"/>
      <c r="AE965" s="181"/>
      <c r="AF965" s="181"/>
      <c r="AG965" s="181"/>
      <c r="AH965" s="181"/>
      <c r="AI965" s="181"/>
      <c r="AJ965" s="181"/>
    </row>
    <row r="966" spans="7:36" ht="13.5" customHeight="1"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  <c r="AA966" s="181"/>
      <c r="AB966" s="181"/>
      <c r="AC966" s="181"/>
      <c r="AD966" s="181"/>
      <c r="AE966" s="181"/>
      <c r="AF966" s="181"/>
      <c r="AG966" s="181"/>
      <c r="AH966" s="181"/>
      <c r="AI966" s="181"/>
      <c r="AJ966" s="181"/>
    </row>
    <row r="967" spans="7:36" ht="13.5" customHeight="1"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  <c r="AA967" s="181"/>
      <c r="AB967" s="181"/>
      <c r="AC967" s="181"/>
      <c r="AD967" s="181"/>
      <c r="AE967" s="181"/>
      <c r="AF967" s="181"/>
      <c r="AG967" s="181"/>
      <c r="AH967" s="181"/>
      <c r="AI967" s="181"/>
      <c r="AJ967" s="181"/>
    </row>
    <row r="968" spans="7:36" ht="13.5" customHeight="1"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  <c r="AA968" s="181"/>
      <c r="AB968" s="181"/>
      <c r="AC968" s="181"/>
      <c r="AD968" s="181"/>
      <c r="AE968" s="181"/>
      <c r="AF968" s="181"/>
      <c r="AG968" s="181"/>
      <c r="AH968" s="181"/>
      <c r="AI968" s="181"/>
      <c r="AJ968" s="181"/>
    </row>
    <row r="969" spans="7:36" ht="13.5" customHeight="1"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  <c r="AA969" s="181"/>
      <c r="AB969" s="181"/>
      <c r="AC969" s="181"/>
      <c r="AD969" s="181"/>
      <c r="AE969" s="181"/>
      <c r="AF969" s="181"/>
      <c r="AG969" s="181"/>
      <c r="AH969" s="181"/>
      <c r="AI969" s="181"/>
      <c r="AJ969" s="181"/>
    </row>
    <row r="970" spans="7:36" ht="13.5" customHeight="1"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  <c r="AA970" s="181"/>
      <c r="AB970" s="181"/>
      <c r="AC970" s="181"/>
      <c r="AD970" s="181"/>
      <c r="AE970" s="181"/>
      <c r="AF970" s="181"/>
      <c r="AG970" s="181"/>
      <c r="AH970" s="181"/>
      <c r="AI970" s="181"/>
      <c r="AJ970" s="181"/>
    </row>
    <row r="971" spans="7:36" ht="13.5" customHeight="1"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  <c r="AA971" s="181"/>
      <c r="AB971" s="181"/>
      <c r="AC971" s="181"/>
      <c r="AD971" s="181"/>
      <c r="AE971" s="181"/>
      <c r="AF971" s="181"/>
      <c r="AG971" s="181"/>
      <c r="AH971" s="181"/>
      <c r="AI971" s="181"/>
      <c r="AJ971" s="181"/>
    </row>
    <row r="972" spans="7:36" ht="13.5" customHeight="1"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  <c r="AA972" s="181"/>
      <c r="AB972" s="181"/>
      <c r="AC972" s="181"/>
      <c r="AD972" s="181"/>
      <c r="AE972" s="181"/>
      <c r="AF972" s="181"/>
      <c r="AG972" s="181"/>
      <c r="AH972" s="181"/>
      <c r="AI972" s="181"/>
      <c r="AJ972" s="181"/>
    </row>
    <row r="973" spans="7:36" ht="13.5" customHeight="1"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  <c r="AA973" s="181"/>
      <c r="AB973" s="181"/>
      <c r="AC973" s="181"/>
      <c r="AD973" s="181"/>
      <c r="AE973" s="181"/>
      <c r="AF973" s="181"/>
      <c r="AG973" s="181"/>
      <c r="AH973" s="181"/>
      <c r="AI973" s="181"/>
      <c r="AJ973" s="181"/>
    </row>
    <row r="974" spans="7:36" ht="13.5" customHeight="1"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  <c r="AA974" s="181"/>
      <c r="AB974" s="181"/>
      <c r="AC974" s="181"/>
      <c r="AD974" s="181"/>
      <c r="AE974" s="181"/>
      <c r="AF974" s="181"/>
      <c r="AG974" s="181"/>
      <c r="AH974" s="181"/>
      <c r="AI974" s="181"/>
      <c r="AJ974" s="181"/>
    </row>
    <row r="975" spans="7:36" ht="13.5" customHeight="1"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  <c r="AA975" s="181"/>
      <c r="AB975" s="181"/>
      <c r="AC975" s="181"/>
      <c r="AD975" s="181"/>
      <c r="AE975" s="181"/>
      <c r="AF975" s="181"/>
      <c r="AG975" s="181"/>
      <c r="AH975" s="181"/>
      <c r="AI975" s="181"/>
      <c r="AJ975" s="181"/>
    </row>
    <row r="976" spans="7:36" ht="13.5" customHeight="1"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  <c r="AA976" s="181"/>
      <c r="AB976" s="181"/>
      <c r="AC976" s="181"/>
      <c r="AD976" s="181"/>
      <c r="AE976" s="181"/>
      <c r="AF976" s="181"/>
      <c r="AG976" s="181"/>
      <c r="AH976" s="181"/>
      <c r="AI976" s="181"/>
      <c r="AJ976" s="181"/>
    </row>
    <row r="977" spans="7:36" ht="13.5" customHeight="1"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  <c r="AA977" s="181"/>
      <c r="AB977" s="181"/>
      <c r="AC977" s="181"/>
      <c r="AD977" s="181"/>
      <c r="AE977" s="181"/>
      <c r="AF977" s="181"/>
      <c r="AG977" s="181"/>
      <c r="AH977" s="181"/>
      <c r="AI977" s="181"/>
      <c r="AJ977" s="181"/>
    </row>
    <row r="978" spans="7:36" ht="13.5" customHeight="1"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  <c r="AA978" s="181"/>
      <c r="AB978" s="181"/>
      <c r="AC978" s="181"/>
      <c r="AD978" s="181"/>
      <c r="AE978" s="181"/>
      <c r="AF978" s="181"/>
      <c r="AG978" s="181"/>
      <c r="AH978" s="181"/>
      <c r="AI978" s="181"/>
      <c r="AJ978" s="181"/>
    </row>
    <row r="979" spans="7:36" ht="13.5" customHeight="1"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  <c r="AA979" s="181"/>
      <c r="AB979" s="181"/>
      <c r="AC979" s="181"/>
      <c r="AD979" s="181"/>
      <c r="AE979" s="181"/>
      <c r="AF979" s="181"/>
      <c r="AG979" s="181"/>
      <c r="AH979" s="181"/>
      <c r="AI979" s="181"/>
      <c r="AJ979" s="181"/>
    </row>
    <row r="980" spans="7:36" ht="13.5" customHeight="1"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  <c r="AA980" s="181"/>
      <c r="AB980" s="181"/>
      <c r="AC980" s="181"/>
      <c r="AD980" s="181"/>
      <c r="AE980" s="181"/>
      <c r="AF980" s="181"/>
      <c r="AG980" s="181"/>
      <c r="AH980" s="181"/>
      <c r="AI980" s="181"/>
      <c r="AJ980" s="181"/>
    </row>
    <row r="981" spans="7:36" ht="13.5" customHeight="1"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  <c r="AA981" s="181"/>
      <c r="AB981" s="181"/>
      <c r="AC981" s="181"/>
      <c r="AD981" s="181"/>
      <c r="AE981" s="181"/>
      <c r="AF981" s="181"/>
      <c r="AG981" s="181"/>
      <c r="AH981" s="181"/>
      <c r="AI981" s="181"/>
      <c r="AJ981" s="181"/>
    </row>
    <row r="982" spans="7:36" ht="13.5" customHeight="1"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  <c r="AA982" s="181"/>
      <c r="AB982" s="181"/>
      <c r="AC982" s="181"/>
      <c r="AD982" s="181"/>
      <c r="AE982" s="181"/>
      <c r="AF982" s="181"/>
      <c r="AG982" s="181"/>
      <c r="AH982" s="181"/>
      <c r="AI982" s="181"/>
      <c r="AJ982" s="181"/>
    </row>
    <row r="983" spans="7:36" ht="13.5" customHeight="1"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  <c r="AA983" s="181"/>
      <c r="AB983" s="181"/>
      <c r="AC983" s="181"/>
      <c r="AD983" s="181"/>
      <c r="AE983" s="181"/>
      <c r="AF983" s="181"/>
      <c r="AG983" s="181"/>
      <c r="AH983" s="181"/>
      <c r="AI983" s="181"/>
      <c r="AJ983" s="181"/>
    </row>
    <row r="984" spans="7:36" ht="13.5" customHeight="1"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  <c r="AA984" s="181"/>
      <c r="AB984" s="181"/>
      <c r="AC984" s="181"/>
      <c r="AD984" s="181"/>
      <c r="AE984" s="181"/>
      <c r="AF984" s="181"/>
      <c r="AG984" s="181"/>
      <c r="AH984" s="181"/>
      <c r="AI984" s="181"/>
      <c r="AJ984" s="181"/>
    </row>
    <row r="985" spans="7:36" ht="13.5" customHeight="1"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  <c r="AA985" s="181"/>
      <c r="AB985" s="181"/>
      <c r="AC985" s="181"/>
      <c r="AD985" s="181"/>
      <c r="AE985" s="181"/>
      <c r="AF985" s="181"/>
      <c r="AG985" s="181"/>
      <c r="AH985" s="181"/>
      <c r="AI985" s="181"/>
      <c r="AJ985" s="181"/>
    </row>
    <row r="986" spans="7:36" ht="13.5" customHeight="1"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  <c r="AA986" s="181"/>
      <c r="AB986" s="181"/>
      <c r="AC986" s="181"/>
      <c r="AD986" s="181"/>
      <c r="AE986" s="181"/>
      <c r="AF986" s="181"/>
      <c r="AG986" s="181"/>
      <c r="AH986" s="181"/>
      <c r="AI986" s="181"/>
      <c r="AJ986" s="181"/>
    </row>
    <row r="987" spans="7:36" ht="13.5" customHeight="1"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  <c r="AA987" s="181"/>
      <c r="AB987" s="181"/>
      <c r="AC987" s="181"/>
      <c r="AD987" s="181"/>
      <c r="AE987" s="181"/>
      <c r="AF987" s="181"/>
      <c r="AG987" s="181"/>
      <c r="AH987" s="181"/>
      <c r="AI987" s="181"/>
      <c r="AJ987" s="181"/>
    </row>
    <row r="988" spans="7:36" ht="13.5" customHeight="1"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  <c r="AA988" s="181"/>
      <c r="AB988" s="181"/>
      <c r="AC988" s="181"/>
      <c r="AD988" s="181"/>
      <c r="AE988" s="181"/>
      <c r="AF988" s="181"/>
      <c r="AG988" s="181"/>
      <c r="AH988" s="181"/>
      <c r="AI988" s="181"/>
      <c r="AJ988" s="181"/>
    </row>
    <row r="989" spans="7:36" ht="13.5" customHeight="1"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  <c r="AA989" s="181"/>
      <c r="AB989" s="181"/>
      <c r="AC989" s="181"/>
      <c r="AD989" s="181"/>
      <c r="AE989" s="181"/>
      <c r="AF989" s="181"/>
      <c r="AG989" s="181"/>
      <c r="AH989" s="181"/>
      <c r="AI989" s="181"/>
      <c r="AJ989" s="181"/>
    </row>
    <row r="990" spans="7:36" ht="13.5" customHeight="1"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  <c r="AA990" s="181"/>
      <c r="AB990" s="181"/>
      <c r="AC990" s="181"/>
      <c r="AD990" s="181"/>
      <c r="AE990" s="181"/>
      <c r="AF990" s="181"/>
      <c r="AG990" s="181"/>
      <c r="AH990" s="181"/>
      <c r="AI990" s="181"/>
      <c r="AJ990" s="181"/>
    </row>
    <row r="991" spans="7:36" ht="13.5" customHeight="1"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  <c r="AA991" s="181"/>
      <c r="AB991" s="181"/>
      <c r="AC991" s="181"/>
      <c r="AD991" s="181"/>
      <c r="AE991" s="181"/>
      <c r="AF991" s="181"/>
      <c r="AG991" s="181"/>
      <c r="AH991" s="181"/>
      <c r="AI991" s="181"/>
      <c r="AJ991" s="181"/>
    </row>
    <row r="992" spans="7:36" ht="13.5" customHeight="1"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  <c r="AA992" s="181"/>
      <c r="AB992" s="181"/>
      <c r="AC992" s="181"/>
      <c r="AD992" s="181"/>
      <c r="AE992" s="181"/>
      <c r="AF992" s="181"/>
      <c r="AG992" s="181"/>
      <c r="AH992" s="181"/>
      <c r="AI992" s="181"/>
      <c r="AJ992" s="181"/>
    </row>
    <row r="993" spans="7:36" ht="13.5" customHeight="1"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  <c r="AA993" s="181"/>
      <c r="AB993" s="181"/>
      <c r="AC993" s="181"/>
      <c r="AD993" s="181"/>
      <c r="AE993" s="181"/>
      <c r="AF993" s="181"/>
      <c r="AG993" s="181"/>
      <c r="AH993" s="181"/>
      <c r="AI993" s="181"/>
      <c r="AJ993" s="181"/>
    </row>
    <row r="994" spans="7:36" ht="13.5" customHeight="1"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  <c r="AA994" s="181"/>
      <c r="AB994" s="181"/>
      <c r="AC994" s="181"/>
      <c r="AD994" s="181"/>
      <c r="AE994" s="181"/>
      <c r="AF994" s="181"/>
      <c r="AG994" s="181"/>
      <c r="AH994" s="181"/>
      <c r="AI994" s="181"/>
      <c r="AJ994" s="181"/>
    </row>
    <row r="995" spans="7:36" ht="13.5" customHeight="1"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  <c r="AA995" s="181"/>
      <c r="AB995" s="181"/>
      <c r="AC995" s="181"/>
      <c r="AD995" s="181"/>
      <c r="AE995" s="181"/>
      <c r="AF995" s="181"/>
      <c r="AG995" s="181"/>
      <c r="AH995" s="181"/>
      <c r="AI995" s="181"/>
      <c r="AJ995" s="181"/>
    </row>
    <row r="996" spans="7:36" ht="13.5" customHeight="1"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  <c r="AA996" s="181"/>
      <c r="AB996" s="181"/>
      <c r="AC996" s="181"/>
      <c r="AD996" s="181"/>
      <c r="AE996" s="181"/>
      <c r="AF996" s="181"/>
      <c r="AG996" s="181"/>
      <c r="AH996" s="181"/>
      <c r="AI996" s="181"/>
      <c r="AJ996" s="181"/>
    </row>
    <row r="997" spans="7:36" ht="13.5" customHeight="1"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  <c r="AA997" s="181"/>
      <c r="AB997" s="181"/>
      <c r="AC997" s="181"/>
      <c r="AD997" s="181"/>
      <c r="AE997" s="181"/>
      <c r="AF997" s="181"/>
      <c r="AG997" s="181"/>
      <c r="AH997" s="181"/>
      <c r="AI997" s="181"/>
      <c r="AJ997" s="181"/>
    </row>
    <row r="998" spans="7:36" ht="13.5" customHeight="1"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  <c r="AA998" s="181"/>
      <c r="AB998" s="181"/>
      <c r="AC998" s="181"/>
      <c r="AD998" s="181"/>
      <c r="AE998" s="181"/>
      <c r="AF998" s="181"/>
      <c r="AG998" s="181"/>
      <c r="AH998" s="181"/>
      <c r="AI998" s="181"/>
      <c r="AJ998" s="181"/>
    </row>
    <row r="999" spans="7:36" ht="13.5" customHeight="1"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  <c r="AA999" s="181"/>
      <c r="AB999" s="181"/>
      <c r="AC999" s="181"/>
      <c r="AD999" s="181"/>
      <c r="AE999" s="181"/>
      <c r="AF999" s="181"/>
      <c r="AG999" s="181"/>
      <c r="AH999" s="181"/>
      <c r="AI999" s="181"/>
      <c r="AJ999" s="181"/>
    </row>
    <row r="1000" spans="7:36" ht="13.5" customHeight="1"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  <c r="AA1000" s="181"/>
      <c r="AB1000" s="181"/>
      <c r="AC1000" s="181"/>
      <c r="AD1000" s="181"/>
      <c r="AE1000" s="181"/>
      <c r="AF1000" s="181"/>
      <c r="AG1000" s="181"/>
      <c r="AH1000" s="181"/>
      <c r="AI1000" s="181"/>
      <c r="AJ1000" s="181"/>
    </row>
  </sheetData>
  <mergeCells count="11">
    <mergeCell ref="AB2:AB3"/>
    <mergeCell ref="AC2:AC3"/>
    <mergeCell ref="A13:A26"/>
    <mergeCell ref="A30:A49"/>
    <mergeCell ref="A2:A3"/>
    <mergeCell ref="B2:L2"/>
    <mergeCell ref="M2:M3"/>
    <mergeCell ref="N2:N3"/>
    <mergeCell ref="O2:O3"/>
    <mergeCell ref="P2:Z2"/>
    <mergeCell ref="AA2:AA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000"/>
  <sheetViews>
    <sheetView showGridLines="0" workbookViewId="0">
      <pane xSplit="1" topLeftCell="B1" activePane="topRight" state="frozen"/>
      <selection pane="topRight" activeCell="R101" sqref="R101"/>
    </sheetView>
  </sheetViews>
  <sheetFormatPr defaultColWidth="14.42578125" defaultRowHeight="15" customHeight="1"/>
  <cols>
    <col min="1" max="1" width="25.5703125" customWidth="1"/>
    <col min="2" max="3" width="10.7109375" customWidth="1"/>
    <col min="4" max="7" width="10.42578125" customWidth="1"/>
    <col min="8" max="8" width="16.5703125" customWidth="1"/>
    <col min="9" max="9" width="23.5703125" customWidth="1"/>
    <col min="10" max="16" width="10.7109375" customWidth="1"/>
    <col min="17" max="17" width="33" customWidth="1"/>
    <col min="18" max="42" width="10.7109375" customWidth="1"/>
  </cols>
  <sheetData>
    <row r="1" spans="1:42" ht="13.5" customHeight="1">
      <c r="A1" s="1" t="s">
        <v>26</v>
      </c>
      <c r="B1" s="1" t="s">
        <v>27</v>
      </c>
      <c r="C1" s="1"/>
      <c r="D1" s="1"/>
      <c r="E1" s="1"/>
      <c r="F1" s="1"/>
      <c r="G1" s="1"/>
      <c r="H1" s="1"/>
      <c r="I1" s="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</row>
    <row r="2" spans="1:42" ht="18" customHeight="1">
      <c r="A2" s="219" t="s">
        <v>13</v>
      </c>
      <c r="B2" s="219" t="s">
        <v>62</v>
      </c>
      <c r="C2" s="208"/>
      <c r="D2" s="208"/>
      <c r="E2" s="208"/>
      <c r="F2" s="216"/>
      <c r="G2" s="48"/>
      <c r="H2" s="210" t="s">
        <v>30</v>
      </c>
      <c r="I2" s="214" t="s">
        <v>63</v>
      </c>
      <c r="J2" s="219" t="s">
        <v>64</v>
      </c>
      <c r="K2" s="208"/>
      <c r="L2" s="208"/>
      <c r="M2" s="208"/>
      <c r="N2" s="216"/>
      <c r="O2" s="48"/>
      <c r="P2" s="210" t="s">
        <v>30</v>
      </c>
      <c r="Q2" s="214" t="s">
        <v>65</v>
      </c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</row>
    <row r="3" spans="1:42" ht="13.5" customHeight="1">
      <c r="A3" s="215"/>
      <c r="B3" s="163">
        <v>2022</v>
      </c>
      <c r="C3" s="164">
        <v>2023</v>
      </c>
      <c r="D3" s="174">
        <v>2024</v>
      </c>
      <c r="E3" s="168">
        <v>45809</v>
      </c>
      <c r="F3" s="168">
        <v>45992</v>
      </c>
      <c r="G3" s="168">
        <v>46174</v>
      </c>
      <c r="H3" s="211"/>
      <c r="I3" s="206"/>
      <c r="J3" s="163">
        <v>2022</v>
      </c>
      <c r="K3" s="164">
        <v>2023</v>
      </c>
      <c r="L3" s="174">
        <v>2024</v>
      </c>
      <c r="M3" s="168">
        <v>45809</v>
      </c>
      <c r="N3" s="168">
        <v>45992</v>
      </c>
      <c r="O3" s="168">
        <v>46174</v>
      </c>
      <c r="P3" s="211"/>
      <c r="Q3" s="206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</row>
    <row r="4" spans="1:42" ht="13.5" customHeight="1">
      <c r="A4" s="154" t="s">
        <v>16</v>
      </c>
      <c r="B4" s="49">
        <v>0.14699999999999999</v>
      </c>
      <c r="C4" s="102">
        <v>0.153</v>
      </c>
      <c r="D4" s="175">
        <v>0.15970000000000001</v>
      </c>
      <c r="E4" s="176">
        <v>0.10976</v>
      </c>
      <c r="F4" s="175">
        <v>0.1222</v>
      </c>
      <c r="G4" s="156">
        <v>0.1206</v>
      </c>
      <c r="H4" s="132">
        <f t="shared" ref="H4:H9" si="0">AVERAGE(B4:G4)</f>
        <v>0.13537666666666667</v>
      </c>
      <c r="I4" s="177">
        <v>4.4999999999999998E-2</v>
      </c>
      <c r="J4" s="8">
        <v>0.18290000000000001</v>
      </c>
      <c r="K4" s="155">
        <v>0.18079999999999999</v>
      </c>
      <c r="L4" s="175">
        <v>0.18540000000000001</v>
      </c>
      <c r="M4" s="176">
        <v>0.13450000000000001</v>
      </c>
      <c r="N4" s="175">
        <v>0.14399999999999999</v>
      </c>
      <c r="O4" s="175">
        <v>0.13900000000000001</v>
      </c>
      <c r="P4" s="132">
        <f>AVERAGE(J4:N4)</f>
        <v>0.16552</v>
      </c>
      <c r="Q4" s="50">
        <v>0.09</v>
      </c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</row>
    <row r="5" spans="1:42" ht="13.5" customHeight="1">
      <c r="A5" s="154" t="s">
        <v>18</v>
      </c>
      <c r="B5" s="49">
        <v>0.12559999999999999</v>
      </c>
      <c r="C5" s="102">
        <v>0.10730000000000001</v>
      </c>
      <c r="D5" s="175">
        <v>0.1211</v>
      </c>
      <c r="E5" s="176">
        <v>0.1225</v>
      </c>
      <c r="F5" s="175">
        <v>0.1211</v>
      </c>
      <c r="G5" s="176">
        <v>0.12670000000000001</v>
      </c>
      <c r="H5" s="132">
        <f t="shared" si="0"/>
        <v>0.12071666666666668</v>
      </c>
      <c r="I5" s="177">
        <v>4.4999999999999998E-2</v>
      </c>
      <c r="J5" s="8">
        <v>0.1991</v>
      </c>
      <c r="K5" s="155">
        <v>0.1676</v>
      </c>
      <c r="L5" s="175">
        <v>0.18579999999999999</v>
      </c>
      <c r="M5" s="176">
        <v>0.18065000000000001</v>
      </c>
      <c r="N5" s="175">
        <v>0.18890000000000001</v>
      </c>
      <c r="O5" s="176">
        <v>0.1852</v>
      </c>
      <c r="P5" s="132">
        <f t="shared" ref="P5:P9" si="1">AVERAGE(J5:O5)</f>
        <v>0.18454166666666669</v>
      </c>
      <c r="Q5" s="50">
        <v>0.09</v>
      </c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</row>
    <row r="6" spans="1:42" ht="13.5" customHeight="1">
      <c r="A6" s="154" t="s">
        <v>17</v>
      </c>
      <c r="B6" s="49">
        <v>0.12590000000000001</v>
      </c>
      <c r="C6" s="102">
        <v>0.15490000000000001</v>
      </c>
      <c r="D6" s="175">
        <v>0.15920000000000001</v>
      </c>
      <c r="E6" s="176">
        <v>0.15479999999999999</v>
      </c>
      <c r="F6" s="175">
        <v>0.16039999999999999</v>
      </c>
      <c r="G6" s="176">
        <v>0.13617000000000001</v>
      </c>
      <c r="H6" s="132">
        <f t="shared" si="0"/>
        <v>0.14856166666666668</v>
      </c>
      <c r="I6" s="177">
        <v>4.4999999999999998E-2</v>
      </c>
      <c r="J6" s="8">
        <v>0.17030000000000001</v>
      </c>
      <c r="K6" s="155">
        <v>0.18590000000000001</v>
      </c>
      <c r="L6" s="175">
        <v>0.1883</v>
      </c>
      <c r="M6" s="176">
        <v>0.17657999999999999</v>
      </c>
      <c r="N6" s="175">
        <v>0.18060000000000001</v>
      </c>
      <c r="O6" s="176">
        <v>0.1467</v>
      </c>
      <c r="P6" s="132">
        <f t="shared" si="1"/>
        <v>0.17472999999999997</v>
      </c>
      <c r="Q6" s="50">
        <v>0.09</v>
      </c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</row>
    <row r="7" spans="1:42" ht="13.5" customHeight="1">
      <c r="A7" s="154" t="s">
        <v>19</v>
      </c>
      <c r="B7" s="49">
        <v>0.1002</v>
      </c>
      <c r="C7" s="102">
        <v>0.1017</v>
      </c>
      <c r="D7" s="175">
        <v>9.7699999999999995E-2</v>
      </c>
      <c r="E7" s="176">
        <v>0.10106</v>
      </c>
      <c r="F7" s="175">
        <v>0.1012</v>
      </c>
      <c r="G7" s="176">
        <v>9.7900000000000001E-2</v>
      </c>
      <c r="H7" s="132">
        <f t="shared" si="0"/>
        <v>9.9959999999999993E-2</v>
      </c>
      <c r="I7" s="177">
        <v>4.4999999999999998E-2</v>
      </c>
      <c r="J7" s="8">
        <v>0.1235</v>
      </c>
      <c r="K7" s="155">
        <v>0.11749999999999999</v>
      </c>
      <c r="L7" s="175">
        <v>0.127</v>
      </c>
      <c r="M7" s="176">
        <v>0.12820000000000001</v>
      </c>
      <c r="N7" s="175">
        <v>0.1249</v>
      </c>
      <c r="O7" s="176">
        <v>0.11899999999999999</v>
      </c>
      <c r="P7" s="132">
        <f t="shared" si="1"/>
        <v>0.12335</v>
      </c>
      <c r="Q7" s="50">
        <v>0.09</v>
      </c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</row>
    <row r="8" spans="1:42" ht="13.5" customHeight="1">
      <c r="A8" s="154" t="s">
        <v>22</v>
      </c>
      <c r="B8" s="49">
        <v>8.6999999999999994E-2</v>
      </c>
      <c r="C8" s="102">
        <v>8.1299999999999997E-2</v>
      </c>
      <c r="D8" s="175">
        <v>8.7999999999999995E-2</v>
      </c>
      <c r="E8" s="176">
        <v>8.7059999999999998E-2</v>
      </c>
      <c r="F8" s="175">
        <v>9.6699999999999994E-2</v>
      </c>
      <c r="G8" s="176">
        <v>9.9699999999999997E-2</v>
      </c>
      <c r="H8" s="132">
        <f t="shared" si="0"/>
        <v>8.9959999999999998E-2</v>
      </c>
      <c r="I8" s="177">
        <v>4.4999999999999998E-2</v>
      </c>
      <c r="J8" s="8">
        <v>0.1331</v>
      </c>
      <c r="K8" s="155">
        <v>0.1239</v>
      </c>
      <c r="L8" s="175">
        <v>0.13089999999999999</v>
      </c>
      <c r="M8" s="176">
        <v>0.12470000000000001</v>
      </c>
      <c r="N8" s="175">
        <v>0.1338</v>
      </c>
      <c r="O8" s="176">
        <v>0.13800000000000001</v>
      </c>
      <c r="P8" s="132">
        <f t="shared" si="1"/>
        <v>0.13073333333333334</v>
      </c>
      <c r="Q8" s="50">
        <v>0.09</v>
      </c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</row>
    <row r="9" spans="1:42" ht="13.5" customHeight="1">
      <c r="A9" s="158" t="s">
        <v>23</v>
      </c>
      <c r="B9" s="49">
        <v>0.1022</v>
      </c>
      <c r="C9" s="102">
        <v>0.11509999999999999</v>
      </c>
      <c r="D9" s="175">
        <v>0.1031</v>
      </c>
      <c r="E9" s="176">
        <v>0.1014</v>
      </c>
      <c r="F9" s="175">
        <v>0.10680000000000001</v>
      </c>
      <c r="G9" s="176">
        <v>0.11</v>
      </c>
      <c r="H9" s="132">
        <f t="shared" si="0"/>
        <v>0.10643333333333332</v>
      </c>
      <c r="I9" s="177">
        <v>4.4999999999999998E-2</v>
      </c>
      <c r="J9" s="8">
        <v>0.1118</v>
      </c>
      <c r="K9" s="155">
        <v>0.1333</v>
      </c>
      <c r="L9" s="175">
        <v>0.1208</v>
      </c>
      <c r="M9" s="176">
        <v>0.11817999999999999</v>
      </c>
      <c r="N9" s="175">
        <v>0.12659999999999999</v>
      </c>
      <c r="O9" s="176">
        <v>0.12695999999999999</v>
      </c>
      <c r="P9" s="132">
        <f t="shared" si="1"/>
        <v>0.12293999999999999</v>
      </c>
      <c r="Q9" s="50">
        <v>0.09</v>
      </c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</row>
    <row r="10" spans="1:42" ht="13.5" customHeight="1">
      <c r="A10" s="19" t="s">
        <v>39</v>
      </c>
      <c r="B10" s="42">
        <f t="shared" ref="B10:G10" si="2">AVERAGE(B4:B9)</f>
        <v>0.11464999999999999</v>
      </c>
      <c r="C10" s="135">
        <f t="shared" si="2"/>
        <v>0.11888333333333334</v>
      </c>
      <c r="D10" s="135">
        <f t="shared" si="2"/>
        <v>0.12146666666666665</v>
      </c>
      <c r="E10" s="135">
        <f t="shared" si="2"/>
        <v>0.11276333333333333</v>
      </c>
      <c r="F10" s="135">
        <f t="shared" si="2"/>
        <v>0.11806666666666667</v>
      </c>
      <c r="G10" s="135">
        <f t="shared" si="2"/>
        <v>0.11517833333333333</v>
      </c>
      <c r="H10" s="44"/>
      <c r="I10" s="173"/>
      <c r="J10" s="42">
        <f t="shared" ref="J10:O10" si="3">AVERAGE(J4:J9)</f>
        <v>0.15345</v>
      </c>
      <c r="K10" s="135">
        <f t="shared" si="3"/>
        <v>0.1515</v>
      </c>
      <c r="L10" s="135">
        <f t="shared" si="3"/>
        <v>0.15636666666666668</v>
      </c>
      <c r="M10" s="135">
        <f t="shared" si="3"/>
        <v>0.14380166666666666</v>
      </c>
      <c r="N10" s="135">
        <f t="shared" si="3"/>
        <v>0.14980000000000002</v>
      </c>
      <c r="O10" s="135">
        <f t="shared" si="3"/>
        <v>0.14247666666666667</v>
      </c>
      <c r="P10" s="44"/>
      <c r="Q10" s="47"/>
      <c r="R10" s="181"/>
      <c r="S10" s="18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3.5" customHeight="1">
      <c r="A11" s="181"/>
      <c r="B11" s="181"/>
      <c r="C11" s="181"/>
      <c r="D11" s="36"/>
      <c r="E11" s="36"/>
      <c r="F11" s="36"/>
      <c r="G11" s="36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</row>
    <row r="12" spans="1:42" ht="13.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</row>
    <row r="13" spans="1:42" ht="13.5" customHeight="1">
      <c r="A13" s="225" t="s">
        <v>66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</row>
    <row r="14" spans="1:42" ht="13.5" customHeight="1">
      <c r="A14" s="184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</row>
    <row r="15" spans="1:42" ht="13.5" customHeight="1">
      <c r="A15" s="184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</row>
    <row r="16" spans="1:42" ht="13.5" customHeight="1">
      <c r="A16" s="184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</row>
    <row r="17" spans="1:1" ht="13.5" customHeight="1">
      <c r="A17" s="184"/>
    </row>
    <row r="18" spans="1:1" ht="13.5" customHeight="1">
      <c r="A18" s="184"/>
    </row>
    <row r="19" spans="1:1" ht="13.5" customHeight="1">
      <c r="A19" s="184"/>
    </row>
    <row r="20" spans="1:1" ht="13.5" customHeight="1">
      <c r="A20" s="184"/>
    </row>
    <row r="21" spans="1:1" ht="13.5" customHeight="1">
      <c r="A21" s="184"/>
    </row>
    <row r="22" spans="1:1" ht="13.5" customHeight="1">
      <c r="A22" s="184"/>
    </row>
    <row r="23" spans="1:1" ht="13.5" customHeight="1">
      <c r="A23" s="184"/>
    </row>
    <row r="24" spans="1:1" ht="13.5" customHeight="1">
      <c r="A24" s="184"/>
    </row>
    <row r="25" spans="1:1" ht="13.5" customHeight="1">
      <c r="A25" s="184"/>
    </row>
    <row r="26" spans="1:1" ht="13.5" customHeight="1">
      <c r="A26" s="184"/>
    </row>
    <row r="27" spans="1:1" ht="13.5" customHeight="1">
      <c r="A27" s="184"/>
    </row>
    <row r="28" spans="1:1" ht="13.5" customHeight="1">
      <c r="A28" s="184"/>
    </row>
    <row r="29" spans="1:1" ht="13.5" customHeight="1">
      <c r="A29" s="184"/>
    </row>
    <row r="30" spans="1:1" ht="13.5" customHeight="1">
      <c r="A30" s="185"/>
    </row>
    <row r="31" spans="1:1" ht="13.5" customHeight="1">
      <c r="A31" s="181"/>
    </row>
    <row r="32" spans="1:1" ht="13.5" customHeight="1">
      <c r="A32" s="181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">
    <mergeCell ref="P2:P3"/>
    <mergeCell ref="Q2:Q3"/>
    <mergeCell ref="A13:A30"/>
    <mergeCell ref="A2:A3"/>
    <mergeCell ref="B2:F2"/>
    <mergeCell ref="H2:H3"/>
    <mergeCell ref="I2:I3"/>
    <mergeCell ref="J2:N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topLeftCell="A73" workbookViewId="0"/>
  </sheetViews>
  <sheetFormatPr defaultColWidth="14.42578125" defaultRowHeight="15" customHeight="1"/>
  <cols>
    <col min="1" max="1" width="25.85546875" customWidth="1"/>
    <col min="2" max="2" width="19.140625" customWidth="1"/>
    <col min="3" max="3" width="19.85546875" customWidth="1"/>
    <col min="4" max="4" width="19.140625" customWidth="1"/>
    <col min="5" max="6" width="17.140625" customWidth="1"/>
    <col min="7" max="7" width="24.85546875" customWidth="1"/>
    <col min="8" max="8" width="34.42578125" customWidth="1"/>
    <col min="9" max="9" width="22.85546875" customWidth="1"/>
    <col min="10" max="10" width="15.140625" customWidth="1"/>
    <col min="11" max="26" width="10.7109375" customWidth="1"/>
  </cols>
  <sheetData>
    <row r="1" spans="1:10" ht="13.5" customHeight="1">
      <c r="A1" s="51"/>
      <c r="B1" s="181"/>
      <c r="C1" s="181"/>
      <c r="D1" s="181"/>
      <c r="E1" s="181"/>
      <c r="F1" s="181"/>
      <c r="G1" s="181"/>
      <c r="H1" s="181"/>
      <c r="I1" s="181"/>
      <c r="J1" s="181"/>
    </row>
    <row r="2" spans="1:10" ht="13.5" customHeight="1">
      <c r="A2" s="51"/>
      <c r="B2" s="181"/>
      <c r="C2" s="181"/>
      <c r="D2" s="181"/>
      <c r="E2" s="181"/>
      <c r="F2" s="181"/>
      <c r="G2" s="181"/>
      <c r="H2" s="181"/>
      <c r="I2" s="181"/>
      <c r="J2" s="181"/>
    </row>
    <row r="3" spans="1:10" ht="13.5" customHeight="1">
      <c r="A3" s="52" t="s">
        <v>67</v>
      </c>
      <c r="B3" s="52" t="s">
        <v>68</v>
      </c>
      <c r="C3" s="52" t="s">
        <v>69</v>
      </c>
      <c r="D3" s="52" t="s">
        <v>70</v>
      </c>
      <c r="E3" s="52" t="s">
        <v>71</v>
      </c>
      <c r="F3" s="52" t="s">
        <v>72</v>
      </c>
      <c r="G3" s="52" t="s">
        <v>73</v>
      </c>
      <c r="H3" s="52" t="s">
        <v>74</v>
      </c>
      <c r="I3" s="52" t="s">
        <v>75</v>
      </c>
      <c r="J3" s="52" t="s">
        <v>76</v>
      </c>
    </row>
    <row r="4" spans="1:10" ht="13.5" customHeight="1">
      <c r="A4" s="53">
        <v>2022</v>
      </c>
      <c r="B4" s="54" t="s">
        <v>22</v>
      </c>
      <c r="C4" s="55" t="s">
        <v>77</v>
      </c>
      <c r="D4" s="56">
        <v>29427960028200.41</v>
      </c>
      <c r="E4" s="56">
        <v>442896649240.40997</v>
      </c>
      <c r="F4" s="56">
        <v>1833915581445.6101</v>
      </c>
      <c r="G4" s="56">
        <v>954267266641.32996</v>
      </c>
      <c r="H4" s="57">
        <v>1.5050198818266308E-2</v>
      </c>
      <c r="I4" s="57">
        <v>4.5986224193607719E-2</v>
      </c>
      <c r="J4" s="57">
        <v>6.2318814477394763E-2</v>
      </c>
    </row>
    <row r="5" spans="1:10" ht="13.5" customHeight="1">
      <c r="A5" s="53">
        <v>2022</v>
      </c>
      <c r="B5" s="54" t="s">
        <v>22</v>
      </c>
      <c r="C5" s="55" t="s">
        <v>78</v>
      </c>
      <c r="D5" s="56">
        <v>25649554087339.129</v>
      </c>
      <c r="E5" s="56">
        <v>1171593722236.55</v>
      </c>
      <c r="F5" s="56">
        <v>2016005188753.9402</v>
      </c>
      <c r="G5" s="56">
        <v>994092668818.88</v>
      </c>
      <c r="H5" s="57">
        <v>4.5676962579823566E-2</v>
      </c>
      <c r="I5" s="57">
        <v>8.12834072931434E-2</v>
      </c>
      <c r="J5" s="57">
        <v>7.859805990736736E-2</v>
      </c>
    </row>
    <row r="6" spans="1:10" ht="13.5" customHeight="1">
      <c r="A6" s="53">
        <v>2022</v>
      </c>
      <c r="B6" s="54" t="s">
        <v>22</v>
      </c>
      <c r="C6" s="55" t="s">
        <v>79</v>
      </c>
      <c r="D6" s="56">
        <v>1507949.77</v>
      </c>
      <c r="E6" s="56">
        <v>1507949.77</v>
      </c>
      <c r="F6" s="56">
        <v>1507949.77</v>
      </c>
      <c r="G6" s="56">
        <v>119595304.31999999</v>
      </c>
      <c r="H6" s="57">
        <v>1</v>
      </c>
      <c r="I6" s="57">
        <v>1</v>
      </c>
      <c r="J6" s="57">
        <v>1</v>
      </c>
    </row>
    <row r="7" spans="1:10" ht="13.5" customHeight="1">
      <c r="A7" s="53">
        <v>2022</v>
      </c>
      <c r="B7" s="54" t="s">
        <v>22</v>
      </c>
      <c r="C7" s="55" t="s">
        <v>80</v>
      </c>
      <c r="D7" s="56">
        <v>14185689886342.229</v>
      </c>
      <c r="E7" s="56">
        <v>280978901967.27002</v>
      </c>
      <c r="F7" s="56">
        <v>998620052296.08984</v>
      </c>
      <c r="G7" s="56">
        <v>116393057657.3</v>
      </c>
      <c r="H7" s="57">
        <v>1.9807207419484923E-2</v>
      </c>
      <c r="I7" s="57">
        <v>2.7784201866294468E-2</v>
      </c>
      <c r="J7" s="57">
        <v>7.0396297980371503E-2</v>
      </c>
    </row>
    <row r="8" spans="1:10" ht="13.5" customHeight="1">
      <c r="A8" s="53">
        <v>2022</v>
      </c>
      <c r="B8" s="58" t="s">
        <v>18</v>
      </c>
      <c r="C8" s="55" t="s">
        <v>77</v>
      </c>
      <c r="D8" s="56">
        <v>44561589354819.461</v>
      </c>
      <c r="E8" s="56">
        <v>1518505803686.29</v>
      </c>
      <c r="F8" s="56">
        <v>5097522571633.2402</v>
      </c>
      <c r="G8" s="56">
        <v>3070842647472.7998</v>
      </c>
      <c r="H8" s="57">
        <v>3.4076562924972499E-2</v>
      </c>
      <c r="I8" s="57">
        <v>9.6349236397130264E-2</v>
      </c>
      <c r="J8" s="57">
        <v>0.11439274598229582</v>
      </c>
    </row>
    <row r="9" spans="1:10" ht="13.5" customHeight="1">
      <c r="A9" s="53">
        <v>2022</v>
      </c>
      <c r="B9" s="58" t="s">
        <v>18</v>
      </c>
      <c r="C9" s="55" t="s">
        <v>78</v>
      </c>
      <c r="D9" s="56">
        <v>34438912923159.109</v>
      </c>
      <c r="E9" s="56">
        <v>2793723077460.8794</v>
      </c>
      <c r="F9" s="56">
        <v>4478574264154.5498</v>
      </c>
      <c r="G9" s="56">
        <v>4298946732286.8799</v>
      </c>
      <c r="H9" s="57">
        <v>8.112111679292254E-2</v>
      </c>
      <c r="I9" s="57">
        <v>0.18309400345898127</v>
      </c>
      <c r="J9" s="57">
        <v>0.13004400789732379</v>
      </c>
    </row>
    <row r="10" spans="1:10" ht="13.5" customHeight="1">
      <c r="A10" s="53">
        <v>2022</v>
      </c>
      <c r="B10" s="58" t="s">
        <v>18</v>
      </c>
      <c r="C10" s="55" t="s">
        <v>79</v>
      </c>
      <c r="D10" s="56">
        <v>1386220324.7</v>
      </c>
      <c r="E10" s="56">
        <v>202237140.47</v>
      </c>
      <c r="F10" s="56">
        <v>657480477.95999992</v>
      </c>
      <c r="G10" s="56">
        <v>19291487997.959999</v>
      </c>
      <c r="H10" s="57">
        <v>0.14589105127553753</v>
      </c>
      <c r="I10" s="57">
        <v>0.94274108301776782</v>
      </c>
      <c r="J10" s="57">
        <v>0.47429724282991526</v>
      </c>
    </row>
    <row r="11" spans="1:10" ht="13.5" customHeight="1">
      <c r="A11" s="53">
        <v>2022</v>
      </c>
      <c r="B11" s="58" t="s">
        <v>18</v>
      </c>
      <c r="C11" s="55" t="s">
        <v>80</v>
      </c>
      <c r="D11" s="56">
        <v>28412793221652.449</v>
      </c>
      <c r="E11" s="56">
        <v>791509412762.81006</v>
      </c>
      <c r="F11" s="56">
        <v>1746389304948.4199</v>
      </c>
      <c r="G11" s="56">
        <v>368349829209.5</v>
      </c>
      <c r="H11" s="57">
        <v>2.7857500900672693E-2</v>
      </c>
      <c r="I11" s="57">
        <v>4.0299276506239184E-2</v>
      </c>
      <c r="J11" s="57">
        <v>6.1464893343099909E-2</v>
      </c>
    </row>
    <row r="12" spans="1:10" ht="13.5" customHeight="1">
      <c r="A12" s="53">
        <v>2022</v>
      </c>
      <c r="B12" s="54" t="s">
        <v>17</v>
      </c>
      <c r="C12" s="55" t="s">
        <v>77</v>
      </c>
      <c r="D12" s="56">
        <v>48468293554520.461</v>
      </c>
      <c r="E12" s="56">
        <v>1517546993494.9502</v>
      </c>
      <c r="F12" s="56">
        <v>4636020385806.2295</v>
      </c>
      <c r="G12" s="56">
        <v>2047249729060.78</v>
      </c>
      <c r="H12" s="57">
        <v>3.1310097430764905E-2</v>
      </c>
      <c r="I12" s="57">
        <v>7.0568314044330477E-2</v>
      </c>
      <c r="J12" s="57">
        <v>9.5650579911407768E-2</v>
      </c>
    </row>
    <row r="13" spans="1:10" ht="13.5" customHeight="1">
      <c r="A13" s="53">
        <v>2022</v>
      </c>
      <c r="B13" s="54" t="s">
        <v>17</v>
      </c>
      <c r="C13" s="55" t="s">
        <v>78</v>
      </c>
      <c r="D13" s="56">
        <v>17328307924432.42</v>
      </c>
      <c r="E13" s="56">
        <v>997102609919.12</v>
      </c>
      <c r="F13" s="56">
        <v>1458565823805.8103</v>
      </c>
      <c r="G13" s="56">
        <v>3255730976523.5801</v>
      </c>
      <c r="H13" s="57">
        <v>5.7541833528548608E-2</v>
      </c>
      <c r="I13" s="57">
        <v>0.20660831467070259</v>
      </c>
      <c r="J13" s="57">
        <v>8.4172432193986707E-2</v>
      </c>
    </row>
    <row r="14" spans="1:10" ht="13.5" customHeight="1">
      <c r="A14" s="53">
        <v>2022</v>
      </c>
      <c r="B14" s="54" t="s">
        <v>17</v>
      </c>
      <c r="C14" s="55" t="s">
        <v>79</v>
      </c>
      <c r="D14" s="56">
        <v>244969756961.91</v>
      </c>
      <c r="E14" s="56">
        <v>25194139733</v>
      </c>
      <c r="F14" s="56">
        <v>28774802223.469997</v>
      </c>
      <c r="G14" s="56">
        <v>153973122091</v>
      </c>
      <c r="H14" s="57">
        <v>0.10284591880016193</v>
      </c>
      <c r="I14" s="57">
        <v>0.44910505045068827</v>
      </c>
      <c r="J14" s="57">
        <v>0.11746267204708111</v>
      </c>
    </row>
    <row r="15" spans="1:10" ht="13.5" customHeight="1">
      <c r="A15" s="53">
        <v>2022</v>
      </c>
      <c r="B15" s="54" t="s">
        <v>17</v>
      </c>
      <c r="C15" s="55" t="s">
        <v>80</v>
      </c>
      <c r="D15" s="56">
        <v>7399299019218.1992</v>
      </c>
      <c r="E15" s="56">
        <v>174073771640</v>
      </c>
      <c r="F15" s="56">
        <v>248762790102.00995</v>
      </c>
      <c r="G15" s="56">
        <v>22558072576</v>
      </c>
      <c r="H15" s="57">
        <v>2.352571117721803E-2</v>
      </c>
      <c r="I15" s="57">
        <v>2.6493617673318089E-2</v>
      </c>
      <c r="J15" s="57">
        <v>3.3619777962195924E-2</v>
      </c>
    </row>
    <row r="16" spans="1:10" ht="13.5" customHeight="1">
      <c r="A16" s="53">
        <v>2022</v>
      </c>
      <c r="B16" s="54" t="s">
        <v>19</v>
      </c>
      <c r="C16" s="55" t="s">
        <v>77</v>
      </c>
      <c r="D16" s="56">
        <v>27948358891085.789</v>
      </c>
      <c r="E16" s="56">
        <v>699625642778.4801</v>
      </c>
      <c r="F16" s="56">
        <v>2318977845001.4199</v>
      </c>
      <c r="G16" s="56">
        <v>1990629007231.04</v>
      </c>
      <c r="H16" s="57">
        <v>2.5032798723707093E-2</v>
      </c>
      <c r="I16" s="57">
        <v>8.9857902316088853E-2</v>
      </c>
      <c r="J16" s="57">
        <v>8.2973667757682362E-2</v>
      </c>
    </row>
    <row r="17" spans="1:10" ht="13.5" customHeight="1">
      <c r="A17" s="53">
        <v>2022</v>
      </c>
      <c r="B17" s="54" t="s">
        <v>19</v>
      </c>
      <c r="C17" s="55" t="s">
        <v>78</v>
      </c>
      <c r="D17" s="56">
        <v>10919698054599.211</v>
      </c>
      <c r="E17" s="56">
        <v>485582595130.82007</v>
      </c>
      <c r="F17" s="56">
        <v>763869200883.30994</v>
      </c>
      <c r="G17" s="56">
        <v>1136290531063.3701</v>
      </c>
      <c r="H17" s="57">
        <v>4.4468500200543555E-2</v>
      </c>
      <c r="I17" s="57">
        <v>0.13452842250721608</v>
      </c>
      <c r="J17" s="57">
        <v>6.9953326279162079E-2</v>
      </c>
    </row>
    <row r="18" spans="1:10" ht="13.5" customHeight="1">
      <c r="A18" s="53">
        <v>2022</v>
      </c>
      <c r="B18" s="54" t="s">
        <v>19</v>
      </c>
      <c r="C18" s="55" t="s">
        <v>80</v>
      </c>
      <c r="D18" s="56">
        <v>2435317942128.6001</v>
      </c>
      <c r="E18" s="56">
        <v>45617368500.959999</v>
      </c>
      <c r="F18" s="56">
        <v>111370962828.47</v>
      </c>
      <c r="G18" s="56">
        <v>7039165823.6400003</v>
      </c>
      <c r="H18" s="57">
        <v>1.8731586423203512E-2</v>
      </c>
      <c r="I18" s="57">
        <v>2.1559719564822003E-2</v>
      </c>
      <c r="J18" s="57">
        <v>4.5731590484290416E-2</v>
      </c>
    </row>
    <row r="19" spans="1:10" ht="13.5" customHeight="1">
      <c r="A19" s="53">
        <v>2022</v>
      </c>
      <c r="B19" s="58" t="s">
        <v>23</v>
      </c>
      <c r="C19" s="55" t="s">
        <v>77</v>
      </c>
      <c r="D19" s="56">
        <v>7159807324668.0703</v>
      </c>
      <c r="E19" s="56">
        <v>177228416947.94</v>
      </c>
      <c r="F19" s="56">
        <v>354609594599.01001</v>
      </c>
      <c r="G19" s="56">
        <v>283225672405.54999</v>
      </c>
      <c r="H19" s="57">
        <v>2.4753238308149073E-2</v>
      </c>
      <c r="I19" s="57">
        <v>6.1863771064098051E-2</v>
      </c>
      <c r="J19" s="57">
        <v>4.9527812484178792E-2</v>
      </c>
    </row>
    <row r="20" spans="1:10" ht="13.5" customHeight="1">
      <c r="A20" s="53">
        <v>2022</v>
      </c>
      <c r="B20" s="58" t="s">
        <v>23</v>
      </c>
      <c r="C20" s="55" t="s">
        <v>78</v>
      </c>
      <c r="D20" s="56">
        <v>16552121665499.391</v>
      </c>
      <c r="E20" s="56">
        <v>506916782348.56</v>
      </c>
      <c r="F20" s="56">
        <v>800072343973.51001</v>
      </c>
      <c r="G20" s="56">
        <v>513604481680.77002</v>
      </c>
      <c r="H20" s="57">
        <v>3.062548672567807E-2</v>
      </c>
      <c r="I20" s="57">
        <v>5.9799463276747532E-2</v>
      </c>
      <c r="J20" s="57">
        <v>4.8336543202262112E-2</v>
      </c>
    </row>
    <row r="21" spans="1:10" ht="13.5" customHeight="1">
      <c r="A21" s="53">
        <v>2022</v>
      </c>
      <c r="B21" s="58" t="s">
        <v>23</v>
      </c>
      <c r="C21" s="55" t="s">
        <v>79</v>
      </c>
      <c r="D21" s="56">
        <v>1664920722</v>
      </c>
      <c r="E21" s="56">
        <v>148124917</v>
      </c>
      <c r="F21" s="56">
        <v>148124917</v>
      </c>
      <c r="G21" s="56">
        <v>894848814.89999998</v>
      </c>
      <c r="H21" s="57">
        <v>8.8968150280491251E-2</v>
      </c>
      <c r="I21" s="57">
        <v>0.40744829441289848</v>
      </c>
      <c r="J21" s="57">
        <v>8.8968150280491251E-2</v>
      </c>
    </row>
    <row r="22" spans="1:10" ht="13.5" customHeight="1">
      <c r="A22" s="53">
        <v>2022</v>
      </c>
      <c r="B22" s="58" t="s">
        <v>23</v>
      </c>
      <c r="C22" s="55" t="s">
        <v>80</v>
      </c>
      <c r="D22" s="56">
        <v>1226028559569.3398</v>
      </c>
      <c r="E22" s="56">
        <v>28761989451</v>
      </c>
      <c r="F22" s="56">
        <v>38096699850</v>
      </c>
      <c r="G22" s="56">
        <v>14270957677.379999</v>
      </c>
      <c r="H22" s="57">
        <v>2.3459477535419781E-2</v>
      </c>
      <c r="I22" s="57">
        <v>3.4695609028298852E-2</v>
      </c>
      <c r="J22" s="57">
        <v>3.107325645283664E-2</v>
      </c>
    </row>
    <row r="23" spans="1:10" ht="13.5" customHeight="1">
      <c r="A23" s="53">
        <v>2022</v>
      </c>
      <c r="B23" s="59" t="s">
        <v>16</v>
      </c>
      <c r="C23" s="55" t="s">
        <v>77</v>
      </c>
      <c r="D23" s="56">
        <v>112866856847730.83</v>
      </c>
      <c r="E23" s="56">
        <v>2735362602511.29</v>
      </c>
      <c r="F23" s="56">
        <v>7475529548039.9297</v>
      </c>
      <c r="G23" s="56">
        <v>2969962615305.54</v>
      </c>
      <c r="H23" s="57">
        <v>2.4235304135398931E-2</v>
      </c>
      <c r="I23" s="57">
        <v>4.9253123870838009E-2</v>
      </c>
      <c r="J23" s="57">
        <v>6.6233168503356116E-2</v>
      </c>
    </row>
    <row r="24" spans="1:10" ht="13.5" customHeight="1">
      <c r="A24" s="53">
        <v>2022</v>
      </c>
      <c r="B24" s="59" t="s">
        <v>16</v>
      </c>
      <c r="C24" s="55" t="s">
        <v>78</v>
      </c>
      <c r="D24" s="56">
        <v>40210811274425.594</v>
      </c>
      <c r="E24" s="56">
        <v>2351862625978.79</v>
      </c>
      <c r="F24" s="56">
        <v>3831198036555.3105</v>
      </c>
      <c r="G24" s="56">
        <v>2489062852915.3701</v>
      </c>
      <c r="H24" s="57">
        <v>5.8488315739966032E-2</v>
      </c>
      <c r="I24" s="57">
        <v>0.113370954313762</v>
      </c>
      <c r="J24" s="57">
        <v>9.527781000011766E-2</v>
      </c>
    </row>
    <row r="25" spans="1:10" ht="13.5" customHeight="1">
      <c r="A25" s="53">
        <v>2022</v>
      </c>
      <c r="B25" s="59" t="s">
        <v>16</v>
      </c>
      <c r="C25" s="55" t="s">
        <v>79</v>
      </c>
      <c r="D25" s="56">
        <v>549962197997.45996</v>
      </c>
      <c r="E25" s="56">
        <v>63495818436.329994</v>
      </c>
      <c r="F25" s="56">
        <v>78605153056.950012</v>
      </c>
      <c r="G25" s="56">
        <v>102224620744.56</v>
      </c>
      <c r="H25" s="57">
        <v>0.11545487793076144</v>
      </c>
      <c r="I25" s="57">
        <v>0.25409964509945515</v>
      </c>
      <c r="J25" s="57">
        <v>0.14292828369507873</v>
      </c>
    </row>
    <row r="26" spans="1:10" ht="13.5" customHeight="1">
      <c r="A26" s="53">
        <v>2022</v>
      </c>
      <c r="B26" s="59" t="s">
        <v>16</v>
      </c>
      <c r="C26" s="55" t="s">
        <v>80</v>
      </c>
      <c r="D26" s="56">
        <v>19486587592497.508</v>
      </c>
      <c r="E26" s="56">
        <v>431449781291.60999</v>
      </c>
      <c r="F26" s="56">
        <v>738428797735.65991</v>
      </c>
      <c r="G26" s="56">
        <v>267341405986.94</v>
      </c>
      <c r="H26" s="57">
        <v>2.2140858641546947E-2</v>
      </c>
      <c r="I26" s="57">
        <v>3.537479492470396E-2</v>
      </c>
      <c r="J26" s="57">
        <v>3.7894207707251985E-2</v>
      </c>
    </row>
    <row r="27" spans="1:10" ht="13.5" customHeight="1">
      <c r="A27" s="53">
        <v>2023</v>
      </c>
      <c r="B27" s="59" t="s">
        <v>22</v>
      </c>
      <c r="C27" s="55" t="s">
        <v>77</v>
      </c>
      <c r="D27" s="56">
        <v>30499494326901.238</v>
      </c>
      <c r="E27" s="56">
        <v>404013780604.62</v>
      </c>
      <c r="F27" s="56">
        <v>1565078559557.0601</v>
      </c>
      <c r="G27" s="56">
        <v>1070128001876.22</v>
      </c>
      <c r="H27" s="57">
        <v>1.3246573083287836E-2</v>
      </c>
      <c r="I27" s="57">
        <v>4.6694945132019459E-2</v>
      </c>
      <c r="J27" s="57">
        <v>5.1314901905656372E-2</v>
      </c>
    </row>
    <row r="28" spans="1:10" ht="13.5" customHeight="1">
      <c r="A28" s="53">
        <v>2023</v>
      </c>
      <c r="B28" s="59" t="s">
        <v>22</v>
      </c>
      <c r="C28" s="55" t="s">
        <v>78</v>
      </c>
      <c r="D28" s="56">
        <v>28577807802523.77</v>
      </c>
      <c r="E28" s="56">
        <v>2076608716666.0298</v>
      </c>
      <c r="F28" s="56">
        <v>2915585193203.6597</v>
      </c>
      <c r="G28" s="56">
        <v>1193978211317.05</v>
      </c>
      <c r="H28" s="57">
        <v>7.2665080926278741E-2</v>
      </c>
      <c r="I28" s="57">
        <v>0.10985524773228564</v>
      </c>
      <c r="J28" s="57">
        <v>0.10202270283818543</v>
      </c>
    </row>
    <row r="29" spans="1:10" ht="13.5" customHeight="1">
      <c r="A29" s="53">
        <v>2023</v>
      </c>
      <c r="B29" s="59" t="s">
        <v>22</v>
      </c>
      <c r="C29" s="55" t="s">
        <v>79</v>
      </c>
      <c r="D29" s="56">
        <v>1507949.77</v>
      </c>
      <c r="E29" s="56">
        <v>1507949.77</v>
      </c>
      <c r="F29" s="56">
        <v>1507949.77</v>
      </c>
      <c r="G29" s="56">
        <v>115520468</v>
      </c>
      <c r="H29" s="57">
        <v>1</v>
      </c>
      <c r="I29" s="57">
        <v>1</v>
      </c>
      <c r="J29" s="57">
        <v>1</v>
      </c>
    </row>
    <row r="30" spans="1:10" ht="13.5" customHeight="1">
      <c r="A30" s="53">
        <v>2023</v>
      </c>
      <c r="B30" s="59" t="s">
        <v>22</v>
      </c>
      <c r="C30" s="55" t="s">
        <v>80</v>
      </c>
      <c r="D30" s="56">
        <v>14692412448122.709</v>
      </c>
      <c r="E30" s="56">
        <v>322840963931.94</v>
      </c>
      <c r="F30" s="56">
        <v>934035727778.73999</v>
      </c>
      <c r="G30" s="56">
        <v>113808237130.83</v>
      </c>
      <c r="H30" s="57">
        <v>2.1973312080085957E-2</v>
      </c>
      <c r="I30" s="57">
        <v>2.9490928870029395E-2</v>
      </c>
      <c r="J30" s="57">
        <v>6.3572659090310554E-2</v>
      </c>
    </row>
    <row r="31" spans="1:10" ht="13.5" customHeight="1">
      <c r="A31" s="53">
        <v>2023</v>
      </c>
      <c r="B31" s="59" t="s">
        <v>18</v>
      </c>
      <c r="C31" s="55" t="s">
        <v>77</v>
      </c>
      <c r="D31" s="56">
        <v>42852295347553.367</v>
      </c>
      <c r="E31" s="56">
        <v>2028034340805.2896</v>
      </c>
      <c r="F31" s="56">
        <v>5980247152463.9297</v>
      </c>
      <c r="G31" s="56">
        <v>3001665764619.3198</v>
      </c>
      <c r="H31" s="57">
        <v>4.7326154278479721E-2</v>
      </c>
      <c r="I31" s="57">
        <v>0.10968954444569005</v>
      </c>
      <c r="J31" s="57">
        <v>0.13955488507584388</v>
      </c>
    </row>
    <row r="32" spans="1:10" ht="13.5" customHeight="1">
      <c r="A32" s="53">
        <v>2023</v>
      </c>
      <c r="B32" s="59" t="s">
        <v>18</v>
      </c>
      <c r="C32" s="55" t="s">
        <v>78</v>
      </c>
      <c r="D32" s="56">
        <v>28763012338182.23</v>
      </c>
      <c r="E32" s="56">
        <v>3932210070576.1802</v>
      </c>
      <c r="F32" s="56">
        <v>5678054051238.21</v>
      </c>
      <c r="G32" s="56">
        <v>5304914957737.2998</v>
      </c>
      <c r="H32" s="57">
        <v>0.13671064853510712</v>
      </c>
      <c r="I32" s="57">
        <v>0.27113845078035764</v>
      </c>
      <c r="J32" s="57">
        <v>0.19740818466710891</v>
      </c>
    </row>
    <row r="33" spans="1:10" ht="13.5" customHeight="1">
      <c r="A33" s="53">
        <v>2023</v>
      </c>
      <c r="B33" s="59" t="s">
        <v>18</v>
      </c>
      <c r="C33" s="55" t="s">
        <v>79</v>
      </c>
      <c r="D33" s="56">
        <v>700457580.28999996</v>
      </c>
      <c r="E33" s="56">
        <v>273546282.24000001</v>
      </c>
      <c r="F33" s="56">
        <v>377932383.75999999</v>
      </c>
      <c r="G33" s="56">
        <v>19213026693.639999</v>
      </c>
      <c r="H33" s="57">
        <v>0.39052512234466469</v>
      </c>
      <c r="I33" s="57">
        <v>0.97856169758253231</v>
      </c>
      <c r="J33" s="57">
        <v>0.53955070855758358</v>
      </c>
    </row>
    <row r="34" spans="1:10" ht="13.5" customHeight="1">
      <c r="A34" s="53">
        <v>2023</v>
      </c>
      <c r="B34" s="59" t="s">
        <v>18</v>
      </c>
      <c r="C34" s="55" t="s">
        <v>80</v>
      </c>
      <c r="D34" s="56">
        <v>31472947293970.691</v>
      </c>
      <c r="E34" s="56">
        <v>1127053786636.0398</v>
      </c>
      <c r="F34" s="56">
        <v>2514052404150.8896</v>
      </c>
      <c r="G34" s="56">
        <v>355114133573.83002</v>
      </c>
      <c r="H34" s="57">
        <v>3.5810239699157469E-2</v>
      </c>
      <c r="I34" s="57">
        <v>4.6567960904058639E-2</v>
      </c>
      <c r="J34" s="57">
        <v>7.9879789479789506E-2</v>
      </c>
    </row>
    <row r="35" spans="1:10" ht="13.5" customHeight="1">
      <c r="A35" s="53">
        <v>2023</v>
      </c>
      <c r="B35" s="60" t="s">
        <v>17</v>
      </c>
      <c r="C35" s="55" t="s">
        <v>77</v>
      </c>
      <c r="D35" s="56">
        <v>52285995188596.352</v>
      </c>
      <c r="E35" s="56">
        <v>1884668175690.7402</v>
      </c>
      <c r="F35" s="56">
        <v>5119642304223.8994</v>
      </c>
      <c r="G35" s="56">
        <v>2078238191369.76</v>
      </c>
      <c r="H35" s="57">
        <v>3.6045372549431534E-2</v>
      </c>
      <c r="I35" s="57">
        <v>7.2895470434811274E-2</v>
      </c>
      <c r="J35" s="57">
        <v>9.791613004127156E-2</v>
      </c>
    </row>
    <row r="36" spans="1:10" ht="13.5" customHeight="1">
      <c r="A36" s="53">
        <v>2023</v>
      </c>
      <c r="B36" s="60" t="s">
        <v>17</v>
      </c>
      <c r="C36" s="55" t="s">
        <v>78</v>
      </c>
      <c r="D36" s="56">
        <v>19214645299537.313</v>
      </c>
      <c r="E36" s="56">
        <v>1388146121908.9102</v>
      </c>
      <c r="F36" s="56">
        <v>2137090801065.0203</v>
      </c>
      <c r="G36" s="56">
        <v>3763288983633.5601</v>
      </c>
      <c r="H36" s="57">
        <v>7.2244171061660797E-2</v>
      </c>
      <c r="I36" s="57">
        <v>0.22419052304955897</v>
      </c>
      <c r="J36" s="57">
        <v>0.11122197510023676</v>
      </c>
    </row>
    <row r="37" spans="1:10" ht="13.5" customHeight="1">
      <c r="A37" s="53">
        <v>2023</v>
      </c>
      <c r="B37" s="60" t="s">
        <v>17</v>
      </c>
      <c r="C37" s="55" t="s">
        <v>79</v>
      </c>
      <c r="D37" s="56">
        <v>252566360157.92001</v>
      </c>
      <c r="E37" s="56">
        <v>33191522398</v>
      </c>
      <c r="F37" s="56">
        <v>36455415137.43</v>
      </c>
      <c r="G37" s="56">
        <v>131179182009</v>
      </c>
      <c r="H37" s="57">
        <v>0.13141703581287159</v>
      </c>
      <c r="I37" s="57">
        <v>0.4283325442136412</v>
      </c>
      <c r="J37" s="57">
        <v>0.1443399473890182</v>
      </c>
    </row>
    <row r="38" spans="1:10" ht="13.5" customHeight="1">
      <c r="A38" s="53">
        <v>2023</v>
      </c>
      <c r="B38" s="60" t="s">
        <v>17</v>
      </c>
      <c r="C38" s="55" t="s">
        <v>80</v>
      </c>
      <c r="D38" s="56">
        <v>8795879079965.3506</v>
      </c>
      <c r="E38" s="56">
        <v>261539659987.17999</v>
      </c>
      <c r="F38" s="56">
        <v>430785844860</v>
      </c>
      <c r="G38" s="56">
        <v>28286962398</v>
      </c>
      <c r="H38" s="57">
        <v>2.9734340093748795E-2</v>
      </c>
      <c r="I38" s="57">
        <v>3.28446474141319E-2</v>
      </c>
      <c r="J38" s="57">
        <v>4.8975871648942335E-2</v>
      </c>
    </row>
    <row r="39" spans="1:10" ht="13.5" customHeight="1">
      <c r="A39" s="53">
        <v>2023</v>
      </c>
      <c r="B39" s="59" t="s">
        <v>19</v>
      </c>
      <c r="C39" s="55" t="s">
        <v>77</v>
      </c>
      <c r="D39" s="56">
        <v>30736810207468.59</v>
      </c>
      <c r="E39" s="56">
        <v>954668022274.00977</v>
      </c>
      <c r="F39" s="56">
        <v>2744031044504.8398</v>
      </c>
      <c r="G39" s="56">
        <v>2018213960682.3101</v>
      </c>
      <c r="H39" s="57">
        <v>3.1059437066831338E-2</v>
      </c>
      <c r="I39" s="57">
        <v>9.0761098746096461E-2</v>
      </c>
      <c r="J39" s="57">
        <v>8.927507525937356E-2</v>
      </c>
    </row>
    <row r="40" spans="1:10" ht="13.5" customHeight="1">
      <c r="A40" s="53">
        <v>2023</v>
      </c>
      <c r="B40" s="59" t="s">
        <v>19</v>
      </c>
      <c r="C40" s="55" t="s">
        <v>78</v>
      </c>
      <c r="D40" s="56">
        <v>12117507942537.48</v>
      </c>
      <c r="E40" s="56">
        <v>789150692653.77002</v>
      </c>
      <c r="F40" s="56">
        <v>1323789759490.21</v>
      </c>
      <c r="G40" s="56">
        <v>1423416156020.9299</v>
      </c>
      <c r="H40" s="57">
        <v>6.5124833950677571E-2</v>
      </c>
      <c r="I40" s="57">
        <v>0.16339851199005345</v>
      </c>
      <c r="J40" s="57">
        <v>0.10924604017325697</v>
      </c>
    </row>
    <row r="41" spans="1:10" ht="13.5" customHeight="1">
      <c r="A41" s="53">
        <v>2023</v>
      </c>
      <c r="B41" s="59" t="s">
        <v>19</v>
      </c>
      <c r="C41" s="55" t="s">
        <v>80</v>
      </c>
      <c r="D41" s="56">
        <v>2555078876542.3501</v>
      </c>
      <c r="E41" s="56">
        <v>53070808243.449997</v>
      </c>
      <c r="F41" s="56">
        <v>147646675703.63</v>
      </c>
      <c r="G41" s="56">
        <v>8870481391.9099998</v>
      </c>
      <c r="H41" s="57">
        <v>2.0770712298035923E-2</v>
      </c>
      <c r="I41" s="57">
        <v>2.4158546440739871E-2</v>
      </c>
      <c r="J41" s="57">
        <v>5.7785564688097715E-2</v>
      </c>
    </row>
    <row r="42" spans="1:10" ht="13.5" customHeight="1">
      <c r="A42" s="53">
        <v>2023</v>
      </c>
      <c r="B42" s="59" t="s">
        <v>23</v>
      </c>
      <c r="C42" s="55" t="s">
        <v>77</v>
      </c>
      <c r="D42" s="56">
        <v>5417687070450.0801</v>
      </c>
      <c r="E42" s="56">
        <v>183611653220.41</v>
      </c>
      <c r="F42" s="56">
        <v>434974100891.03003</v>
      </c>
      <c r="G42" s="56">
        <v>279647830582.13</v>
      </c>
      <c r="H42" s="57">
        <v>3.3891151488222866E-2</v>
      </c>
      <c r="I42" s="57">
        <v>8.1311611806181405E-2</v>
      </c>
      <c r="J42" s="57">
        <v>8.0287786140976591E-2</v>
      </c>
    </row>
    <row r="43" spans="1:10" ht="13.5" customHeight="1">
      <c r="A43" s="53">
        <v>2023</v>
      </c>
      <c r="B43" s="59" t="s">
        <v>23</v>
      </c>
      <c r="C43" s="55" t="s">
        <v>78</v>
      </c>
      <c r="D43" s="56">
        <v>14811224039941.66</v>
      </c>
      <c r="E43" s="56">
        <v>605399320022.64001</v>
      </c>
      <c r="F43" s="56">
        <v>874198009723.63</v>
      </c>
      <c r="G43" s="56">
        <v>478158880232.15997</v>
      </c>
      <c r="H43" s="57">
        <v>4.0874361118976403E-2</v>
      </c>
      <c r="I43" s="57">
        <v>7.0869975976929844E-2</v>
      </c>
      <c r="J43" s="57">
        <v>5.9022671412313155E-2</v>
      </c>
    </row>
    <row r="44" spans="1:10" ht="13.5" customHeight="1">
      <c r="A44" s="53">
        <v>2023</v>
      </c>
      <c r="B44" s="59" t="s">
        <v>23</v>
      </c>
      <c r="C44" s="55" t="s">
        <v>79</v>
      </c>
      <c r="D44" s="56">
        <v>940918165</v>
      </c>
      <c r="E44" s="56">
        <v>90203629</v>
      </c>
      <c r="F44" s="56">
        <v>90203629</v>
      </c>
      <c r="G44" s="56">
        <v>815233714.84000003</v>
      </c>
      <c r="H44" s="57">
        <v>9.5867666663657189E-2</v>
      </c>
      <c r="I44" s="57">
        <v>0.51558031753067557</v>
      </c>
      <c r="J44" s="57">
        <v>9.5867666663657189E-2</v>
      </c>
    </row>
    <row r="45" spans="1:10" ht="13.5" customHeight="1">
      <c r="A45" s="53">
        <v>2023</v>
      </c>
      <c r="B45" s="59" t="s">
        <v>23</v>
      </c>
      <c r="C45" s="55" t="s">
        <v>80</v>
      </c>
      <c r="D45" s="56">
        <v>1151169043400.1099</v>
      </c>
      <c r="E45" s="56">
        <v>30611897614.18</v>
      </c>
      <c r="F45" s="56">
        <v>49191488792.900002</v>
      </c>
      <c r="G45" s="56">
        <v>13026916613.32</v>
      </c>
      <c r="H45" s="57">
        <v>2.659200904479176E-2</v>
      </c>
      <c r="I45" s="57">
        <v>3.7484079765228349E-2</v>
      </c>
      <c r="J45" s="57">
        <v>4.2731768261946391E-2</v>
      </c>
    </row>
    <row r="46" spans="1:10" ht="13.5" customHeight="1">
      <c r="A46" s="53">
        <v>2023</v>
      </c>
      <c r="B46" s="59" t="s">
        <v>16</v>
      </c>
      <c r="C46" s="55" t="s">
        <v>77</v>
      </c>
      <c r="D46" s="56">
        <v>117136460998646.69</v>
      </c>
      <c r="E46" s="56">
        <v>3785356895829.4902</v>
      </c>
      <c r="F46" s="56">
        <v>7874756021271.9805</v>
      </c>
      <c r="G46" s="56">
        <v>3315457517617.79</v>
      </c>
      <c r="H46" s="57">
        <v>3.2315786763211361E-2</v>
      </c>
      <c r="I46" s="57">
        <v>5.8951443039808996E-2</v>
      </c>
      <c r="J46" s="57">
        <v>6.7227197698613753E-2</v>
      </c>
    </row>
    <row r="47" spans="1:10" ht="13.5" customHeight="1">
      <c r="A47" s="53">
        <v>2023</v>
      </c>
      <c r="B47" s="59" t="s">
        <v>16</v>
      </c>
      <c r="C47" s="55" t="s">
        <v>78</v>
      </c>
      <c r="D47" s="56">
        <v>38075118983258.086</v>
      </c>
      <c r="E47" s="56">
        <v>3681962881877.1006</v>
      </c>
      <c r="F47" s="56">
        <v>5646716630563.2598</v>
      </c>
      <c r="G47" s="56">
        <v>3795023013695.1899</v>
      </c>
      <c r="H47" s="57">
        <v>9.6702596871623359E-2</v>
      </c>
      <c r="I47" s="57">
        <v>0.17857560397374247</v>
      </c>
      <c r="J47" s="57">
        <v>0.14830463518830139</v>
      </c>
    </row>
    <row r="48" spans="1:10" ht="13.5" customHeight="1">
      <c r="A48" s="53">
        <v>2023</v>
      </c>
      <c r="B48" s="59" t="s">
        <v>16</v>
      </c>
      <c r="C48" s="55" t="s">
        <v>79</v>
      </c>
      <c r="D48" s="56">
        <v>533065889007.67999</v>
      </c>
      <c r="E48" s="56">
        <v>75736768388.349991</v>
      </c>
      <c r="F48" s="56">
        <v>93360559827.809998</v>
      </c>
      <c r="G48" s="56">
        <v>104951299670.33</v>
      </c>
      <c r="H48" s="57">
        <v>0.14207768673650553</v>
      </c>
      <c r="I48" s="57">
        <v>0.2832025081221885</v>
      </c>
      <c r="J48" s="57">
        <v>0.17513887448623622</v>
      </c>
    </row>
    <row r="49" spans="1:10" ht="13.5" customHeight="1">
      <c r="A49" s="53">
        <v>2023</v>
      </c>
      <c r="B49" s="59" t="s">
        <v>16</v>
      </c>
      <c r="C49" s="55" t="s">
        <v>80</v>
      </c>
      <c r="D49" s="56">
        <v>21619826257283.5</v>
      </c>
      <c r="E49" s="56">
        <v>595890638843.80005</v>
      </c>
      <c r="F49" s="56">
        <v>1083656091284.5801</v>
      </c>
      <c r="G49" s="56">
        <v>293170124117.25</v>
      </c>
      <c r="H49" s="57">
        <v>2.7562230692906264E-2</v>
      </c>
      <c r="I49" s="57">
        <v>4.057230455784059E-2</v>
      </c>
      <c r="J49" s="57">
        <v>5.012325623659937E-2</v>
      </c>
    </row>
    <row r="50" spans="1:10" ht="13.5" customHeight="1">
      <c r="A50" s="61">
        <v>2024</v>
      </c>
      <c r="B50" s="59" t="s">
        <v>22</v>
      </c>
      <c r="C50" s="55" t="s">
        <v>77</v>
      </c>
      <c r="D50" s="56">
        <v>31784162798487.121</v>
      </c>
      <c r="E50" s="56">
        <v>404615196416.83997</v>
      </c>
      <c r="F50" s="56">
        <v>1353822030770.9399</v>
      </c>
      <c r="G50" s="56">
        <v>1225288540371.55</v>
      </c>
      <c r="H50" s="57">
        <v>1.2730088219787845E-2</v>
      </c>
      <c r="I50" s="57">
        <v>4.9376880580552701E-2</v>
      </c>
      <c r="J50" s="57">
        <v>4.2594232837096464E-2</v>
      </c>
    </row>
    <row r="51" spans="1:10" ht="13.5" customHeight="1">
      <c r="A51" s="61">
        <v>2024</v>
      </c>
      <c r="B51" s="59" t="s">
        <v>22</v>
      </c>
      <c r="C51" s="55" t="s">
        <v>78</v>
      </c>
      <c r="D51" s="56">
        <v>27829456673211.961</v>
      </c>
      <c r="E51" s="56">
        <v>2652479536783.7598</v>
      </c>
      <c r="F51" s="56">
        <v>3495300239103.7793</v>
      </c>
      <c r="G51" s="56">
        <v>1391459840316.28</v>
      </c>
      <c r="H51" s="57">
        <v>9.531194115395647E-2</v>
      </c>
      <c r="I51" s="57">
        <v>0.13839194178689912</v>
      </c>
      <c r="J51" s="57">
        <v>0.12559714263010677</v>
      </c>
    </row>
    <row r="52" spans="1:10" ht="13.5" customHeight="1">
      <c r="A52" s="61">
        <v>2024</v>
      </c>
      <c r="B52" s="59" t="s">
        <v>22</v>
      </c>
      <c r="C52" s="55" t="s">
        <v>79</v>
      </c>
      <c r="D52" s="56">
        <v>1507949.77</v>
      </c>
      <c r="E52" s="56">
        <v>1507949.77</v>
      </c>
      <c r="F52" s="56">
        <v>1507949.77</v>
      </c>
      <c r="G52" s="56">
        <v>95960439.340000004</v>
      </c>
      <c r="H52" s="57">
        <v>1</v>
      </c>
      <c r="I52" s="57">
        <v>1</v>
      </c>
      <c r="J52" s="57">
        <v>1</v>
      </c>
    </row>
    <row r="53" spans="1:10" ht="13.5" customHeight="1">
      <c r="A53" s="61">
        <v>2024</v>
      </c>
      <c r="B53" s="59" t="s">
        <v>22</v>
      </c>
      <c r="C53" s="55" t="s">
        <v>80</v>
      </c>
      <c r="D53" s="56">
        <v>14992703471712.99</v>
      </c>
      <c r="E53" s="56">
        <v>370437654446.34003</v>
      </c>
      <c r="F53" s="56">
        <v>947131069937.99011</v>
      </c>
      <c r="G53" s="56">
        <v>143267596861.85999</v>
      </c>
      <c r="H53" s="57">
        <v>2.470786240421893E-2</v>
      </c>
      <c r="I53" s="57">
        <v>3.3939365302748874E-2</v>
      </c>
      <c r="J53" s="57">
        <v>6.3172800804401935E-2</v>
      </c>
    </row>
    <row r="54" spans="1:10" ht="13.5" customHeight="1">
      <c r="A54" s="61">
        <v>2024</v>
      </c>
      <c r="B54" s="60" t="s">
        <v>18</v>
      </c>
      <c r="C54" s="55" t="s">
        <v>77</v>
      </c>
      <c r="D54" s="56">
        <v>49109143587711.82</v>
      </c>
      <c r="E54" s="56">
        <v>2360220410801.04</v>
      </c>
      <c r="F54" s="56">
        <v>6211382767325.1992</v>
      </c>
      <c r="G54" s="56">
        <v>3230616112212.3999</v>
      </c>
      <c r="H54" s="57">
        <v>4.8060712086855015E-2</v>
      </c>
      <c r="I54" s="57">
        <v>0.10681815421138692</v>
      </c>
      <c r="J54" s="57">
        <v>0.12648118687370924</v>
      </c>
    </row>
    <row r="55" spans="1:10" ht="13.5" customHeight="1">
      <c r="A55" s="61">
        <v>2024</v>
      </c>
      <c r="B55" s="60" t="s">
        <v>18</v>
      </c>
      <c r="C55" s="55" t="s">
        <v>78</v>
      </c>
      <c r="D55" s="56">
        <v>23586616925023.578</v>
      </c>
      <c r="E55" s="56">
        <v>1937236105367.22</v>
      </c>
      <c r="F55" s="56">
        <v>3327878578828.3696</v>
      </c>
      <c r="G55" s="56">
        <v>9026111266406.2207</v>
      </c>
      <c r="H55" s="57">
        <v>8.2132851503259122E-2</v>
      </c>
      <c r="I55" s="57">
        <v>0.33616774737215843</v>
      </c>
      <c r="J55" s="57">
        <v>0.14109181445592342</v>
      </c>
    </row>
    <row r="56" spans="1:10" ht="13.5" customHeight="1">
      <c r="A56" s="61">
        <v>2024</v>
      </c>
      <c r="B56" s="60" t="s">
        <v>18</v>
      </c>
      <c r="C56" s="55" t="s">
        <v>79</v>
      </c>
      <c r="D56" s="56">
        <v>311541182.19</v>
      </c>
      <c r="E56" s="56">
        <v>112341556.75</v>
      </c>
      <c r="F56" s="56">
        <v>152141012.99000001</v>
      </c>
      <c r="G56" s="56">
        <v>19391966359.52</v>
      </c>
      <c r="H56" s="57">
        <v>0.36059937874115827</v>
      </c>
      <c r="I56" s="57">
        <v>0.9898901439239528</v>
      </c>
      <c r="J56" s="57">
        <v>0.48834960412140177</v>
      </c>
    </row>
    <row r="57" spans="1:10" ht="13.5" customHeight="1">
      <c r="A57" s="61">
        <v>2024</v>
      </c>
      <c r="B57" s="60" t="s">
        <v>18</v>
      </c>
      <c r="C57" s="55" t="s">
        <v>80</v>
      </c>
      <c r="D57" s="56">
        <v>33240823729922.828</v>
      </c>
      <c r="E57" s="56">
        <v>1544293550817.79</v>
      </c>
      <c r="F57" s="56">
        <v>3018849147904.0903</v>
      </c>
      <c r="G57" s="56">
        <v>446738807394.81</v>
      </c>
      <c r="H57" s="57">
        <v>4.6457740137999137E-2</v>
      </c>
      <c r="I57" s="57">
        <v>5.9102891638628349E-2</v>
      </c>
      <c r="J57" s="57">
        <v>9.0817519217689338E-2</v>
      </c>
    </row>
    <row r="58" spans="1:10" ht="13.5" customHeight="1">
      <c r="A58" s="61">
        <v>2024</v>
      </c>
      <c r="B58" s="59" t="s">
        <v>17</v>
      </c>
      <c r="C58" s="55" t="s">
        <v>77</v>
      </c>
      <c r="D58" s="56">
        <v>55820573381123.523</v>
      </c>
      <c r="E58" s="56">
        <v>2032424731000.45</v>
      </c>
      <c r="F58" s="56">
        <v>4921164040291.4199</v>
      </c>
      <c r="G58" s="56">
        <v>2264448059071.48</v>
      </c>
      <c r="H58" s="57">
        <v>3.6409957975955538E-2</v>
      </c>
      <c r="I58" s="57">
        <v>7.3975573797386632E-2</v>
      </c>
      <c r="J58" s="57">
        <v>8.8160399333260475E-2</v>
      </c>
    </row>
    <row r="59" spans="1:10" ht="13.5" customHeight="1">
      <c r="A59" s="61">
        <v>2024</v>
      </c>
      <c r="B59" s="59" t="s">
        <v>17</v>
      </c>
      <c r="C59" s="55" t="s">
        <v>78</v>
      </c>
      <c r="D59" s="56">
        <v>19742689706823.219</v>
      </c>
      <c r="E59" s="56">
        <v>1423723448267.0598</v>
      </c>
      <c r="F59" s="56">
        <v>2272348624197.8101</v>
      </c>
      <c r="G59" s="56">
        <v>4553145149275.8896</v>
      </c>
      <c r="H59" s="57">
        <v>7.2113955565791546E-2</v>
      </c>
      <c r="I59" s="57">
        <v>0.24600383699276523</v>
      </c>
      <c r="J59" s="57">
        <v>0.11509822916441166</v>
      </c>
    </row>
    <row r="60" spans="1:10" ht="13.5" customHeight="1">
      <c r="A60" s="61">
        <v>2024</v>
      </c>
      <c r="B60" s="59" t="s">
        <v>17</v>
      </c>
      <c r="C60" s="55" t="s">
        <v>79</v>
      </c>
      <c r="D60" s="56">
        <v>757004052.95000005</v>
      </c>
      <c r="E60" s="56">
        <v>729449529.56000006</v>
      </c>
      <c r="F60" s="56">
        <v>757004052.95000005</v>
      </c>
      <c r="G60" s="56">
        <v>127794832083</v>
      </c>
      <c r="H60" s="57">
        <v>0.96360056028416008</v>
      </c>
      <c r="I60" s="57">
        <v>0.99978565437711164</v>
      </c>
      <c r="J60" s="57">
        <v>1</v>
      </c>
    </row>
    <row r="61" spans="1:10" ht="13.5" customHeight="1">
      <c r="A61" s="61">
        <v>2024</v>
      </c>
      <c r="B61" s="59" t="s">
        <v>17</v>
      </c>
      <c r="C61" s="55" t="s">
        <v>80</v>
      </c>
      <c r="D61" s="56">
        <v>10774825215438.289</v>
      </c>
      <c r="E61" s="56">
        <v>343331049617.16998</v>
      </c>
      <c r="F61" s="56">
        <v>540228432978.25</v>
      </c>
      <c r="G61" s="56">
        <v>34079539218</v>
      </c>
      <c r="H61" s="57">
        <v>3.1864187376816233E-2</v>
      </c>
      <c r="I61" s="57">
        <v>3.4916635626064521E-2</v>
      </c>
      <c r="J61" s="57">
        <v>5.0138022861308668E-2</v>
      </c>
    </row>
    <row r="62" spans="1:10" ht="13.5" customHeight="1">
      <c r="A62" s="61">
        <v>2024</v>
      </c>
      <c r="B62" s="59" t="s">
        <v>19</v>
      </c>
      <c r="C62" s="55" t="s">
        <v>77</v>
      </c>
      <c r="D62" s="56">
        <v>33138645951060.988</v>
      </c>
      <c r="E62" s="56">
        <v>1027678348430.6801</v>
      </c>
      <c r="F62" s="56">
        <v>3425339871783.5103</v>
      </c>
      <c r="G62" s="56">
        <v>2108940650508.3601</v>
      </c>
      <c r="H62" s="57">
        <v>3.1011476749784862E-2</v>
      </c>
      <c r="I62" s="57">
        <v>8.8988191855364829E-2</v>
      </c>
      <c r="J62" s="57">
        <v>0.10336390559958417</v>
      </c>
    </row>
    <row r="63" spans="1:10" ht="13.5" customHeight="1">
      <c r="A63" s="61">
        <v>2024</v>
      </c>
      <c r="B63" s="59" t="s">
        <v>19</v>
      </c>
      <c r="C63" s="55" t="s">
        <v>78</v>
      </c>
      <c r="D63" s="56">
        <v>12821028973517.631</v>
      </c>
      <c r="E63" s="56">
        <v>511358644936.84003</v>
      </c>
      <c r="F63" s="56">
        <v>1254093446715.4199</v>
      </c>
      <c r="G63" s="56">
        <v>1982765355289.1399</v>
      </c>
      <c r="H63" s="57">
        <v>3.9884368563012577E-2</v>
      </c>
      <c r="I63" s="57">
        <v>0.16847869842211011</v>
      </c>
      <c r="J63" s="57">
        <v>9.7815350804198495E-2</v>
      </c>
    </row>
    <row r="64" spans="1:10" ht="13.5" customHeight="1">
      <c r="A64" s="61">
        <v>2024</v>
      </c>
      <c r="B64" s="59" t="s">
        <v>19</v>
      </c>
      <c r="C64" s="55" t="s">
        <v>80</v>
      </c>
      <c r="D64" s="56">
        <v>3034060322703.9199</v>
      </c>
      <c r="E64" s="56">
        <v>58780996347.5</v>
      </c>
      <c r="F64" s="56">
        <v>189996889468.97</v>
      </c>
      <c r="G64" s="56">
        <v>10524033043.99</v>
      </c>
      <c r="H64" s="57">
        <v>1.9373707209326362E-2</v>
      </c>
      <c r="I64" s="57">
        <v>2.2763379592570049E-2</v>
      </c>
      <c r="J64" s="57">
        <v>6.2621328932460696E-2</v>
      </c>
    </row>
    <row r="65" spans="1:10" ht="13.5" customHeight="1">
      <c r="A65" s="61">
        <v>2024</v>
      </c>
      <c r="B65" s="59" t="s">
        <v>23</v>
      </c>
      <c r="C65" s="55" t="s">
        <v>77</v>
      </c>
      <c r="D65" s="56">
        <v>5564687771880.96</v>
      </c>
      <c r="E65" s="56">
        <v>137944483228.73999</v>
      </c>
      <c r="F65" s="56">
        <v>290786119322.42004</v>
      </c>
      <c r="G65" s="56">
        <v>338796412096.73999</v>
      </c>
      <c r="H65" s="57">
        <v>2.478925842448702E-2</v>
      </c>
      <c r="I65" s="57">
        <v>8.0755852047401849E-2</v>
      </c>
      <c r="J65" s="57">
        <v>5.2255603772020681E-2</v>
      </c>
    </row>
    <row r="66" spans="1:10" ht="13.5" customHeight="1">
      <c r="A66" s="61">
        <v>2024</v>
      </c>
      <c r="B66" s="59" t="s">
        <v>23</v>
      </c>
      <c r="C66" s="55" t="s">
        <v>78</v>
      </c>
      <c r="D66" s="56">
        <v>14714709578678.461</v>
      </c>
      <c r="E66" s="56">
        <v>540958608345.08002</v>
      </c>
      <c r="F66" s="56">
        <v>773281730000.35999</v>
      </c>
      <c r="G66" s="56">
        <v>587981854028.78003</v>
      </c>
      <c r="H66" s="57">
        <v>3.6763118256097037E-2</v>
      </c>
      <c r="I66" s="57">
        <v>7.3773980697337774E-2</v>
      </c>
      <c r="J66" s="57">
        <v>5.2551613463091465E-2</v>
      </c>
    </row>
    <row r="67" spans="1:10" ht="13.5" customHeight="1">
      <c r="A67" s="61">
        <v>2024</v>
      </c>
      <c r="B67" s="59" t="s">
        <v>23</v>
      </c>
      <c r="C67" s="55" t="s">
        <v>79</v>
      </c>
      <c r="D67" s="56">
        <v>240804062</v>
      </c>
      <c r="E67" s="56">
        <v>50625952</v>
      </c>
      <c r="F67" s="56">
        <v>50625952</v>
      </c>
      <c r="G67" s="56">
        <v>699345823.84000003</v>
      </c>
      <c r="H67" s="57">
        <v>0.21023711801007741</v>
      </c>
      <c r="I67" s="57">
        <v>0.79771511663793837</v>
      </c>
      <c r="J67" s="57">
        <v>0.21023711801007741</v>
      </c>
    </row>
    <row r="68" spans="1:10" ht="13.5" customHeight="1">
      <c r="A68" s="61">
        <v>2024</v>
      </c>
      <c r="B68" s="59" t="s">
        <v>23</v>
      </c>
      <c r="C68" s="55" t="s">
        <v>80</v>
      </c>
      <c r="D68" s="56">
        <v>1025966969516.0601</v>
      </c>
      <c r="E68" s="56">
        <v>33547120969.77</v>
      </c>
      <c r="F68" s="56">
        <v>47079991495.25</v>
      </c>
      <c r="G68" s="56">
        <v>12745566705.5</v>
      </c>
      <c r="H68" s="57">
        <v>3.26980516591035E-2</v>
      </c>
      <c r="I68" s="57">
        <v>4.456737168462907E-2</v>
      </c>
      <c r="J68" s="57">
        <v>4.588840858829718E-2</v>
      </c>
    </row>
    <row r="69" spans="1:10" ht="13.5" customHeight="1">
      <c r="A69" s="61">
        <v>2024</v>
      </c>
      <c r="B69" s="59" t="s">
        <v>16</v>
      </c>
      <c r="C69" s="55" t="s">
        <v>77</v>
      </c>
      <c r="D69" s="56">
        <v>124546574246021.66</v>
      </c>
      <c r="E69" s="56">
        <v>4515787235712.4297</v>
      </c>
      <c r="F69" s="56">
        <v>9843064191559.8906</v>
      </c>
      <c r="G69" s="56">
        <v>3529289901095.0801</v>
      </c>
      <c r="H69" s="57">
        <v>3.6257819719651391E-2</v>
      </c>
      <c r="I69" s="57">
        <v>6.2814935432068467E-2</v>
      </c>
      <c r="J69" s="57">
        <v>7.903119175415059E-2</v>
      </c>
    </row>
    <row r="70" spans="1:10" ht="13.5" customHeight="1">
      <c r="A70" s="61">
        <v>2024</v>
      </c>
      <c r="B70" s="59" t="s">
        <v>16</v>
      </c>
      <c r="C70" s="55" t="s">
        <v>78</v>
      </c>
      <c r="D70" s="56">
        <v>36510318730157.57</v>
      </c>
      <c r="E70" s="56">
        <v>2943316209359.6797</v>
      </c>
      <c r="F70" s="56">
        <v>5736510032476.1797</v>
      </c>
      <c r="G70" s="56">
        <v>4548958683199.5898</v>
      </c>
      <c r="H70" s="57">
        <v>8.0616009712577416E-2</v>
      </c>
      <c r="I70" s="57">
        <v>0.18247459196936397</v>
      </c>
      <c r="J70" s="57">
        <v>0.15712023975670789</v>
      </c>
    </row>
    <row r="71" spans="1:10" ht="13.5" customHeight="1">
      <c r="A71" s="61">
        <v>2024</v>
      </c>
      <c r="B71" s="59" t="s">
        <v>16</v>
      </c>
      <c r="C71" s="55" t="s">
        <v>79</v>
      </c>
      <c r="D71" s="56">
        <v>644378364153.52002</v>
      </c>
      <c r="E71" s="56">
        <v>49297287411.080002</v>
      </c>
      <c r="F71" s="56">
        <v>67931505269.059998</v>
      </c>
      <c r="G71" s="56">
        <v>113498980787.75999</v>
      </c>
      <c r="H71" s="57">
        <v>7.6503635369320325E-2</v>
      </c>
      <c r="I71" s="57">
        <v>0.21480556093341643</v>
      </c>
      <c r="J71" s="57">
        <v>0.10542176622937582</v>
      </c>
    </row>
    <row r="72" spans="1:10" ht="13.5" customHeight="1">
      <c r="A72" s="61">
        <v>2024</v>
      </c>
      <c r="B72" s="59" t="s">
        <v>16</v>
      </c>
      <c r="C72" s="55" t="s">
        <v>80</v>
      </c>
      <c r="D72" s="56">
        <v>24956675588425.781</v>
      </c>
      <c r="E72" s="56">
        <v>773016266842.12</v>
      </c>
      <c r="F72" s="56">
        <v>1542846932024.2</v>
      </c>
      <c r="G72" s="56">
        <v>308421956128.03003</v>
      </c>
      <c r="H72" s="57">
        <v>3.0974328455855061E-2</v>
      </c>
      <c r="I72" s="57">
        <v>4.2803643289446421E-2</v>
      </c>
      <c r="J72" s="57">
        <v>6.1821011639055401E-2</v>
      </c>
    </row>
    <row r="73" spans="1:10" ht="13.5" customHeight="1">
      <c r="A73" s="61">
        <v>2025</v>
      </c>
      <c r="B73" s="59" t="s">
        <v>22</v>
      </c>
      <c r="C73" s="55" t="s">
        <v>77</v>
      </c>
      <c r="D73" s="62">
        <v>35548499135643.797</v>
      </c>
      <c r="E73" s="62">
        <v>404831007431.59003</v>
      </c>
      <c r="F73" s="62">
        <v>1517449739076.5601</v>
      </c>
      <c r="G73" s="62">
        <v>1184022730819.1101</v>
      </c>
      <c r="H73" s="63">
        <v>1.1388132193341286E-2</v>
      </c>
      <c r="I73" s="63">
        <v>4.3254687059788743E-2</v>
      </c>
      <c r="J73" s="63">
        <v>4.2686745600323879E-2</v>
      </c>
    </row>
    <row r="74" spans="1:10" ht="13.5" customHeight="1">
      <c r="A74" s="61">
        <v>2025</v>
      </c>
      <c r="B74" s="59" t="s">
        <v>22</v>
      </c>
      <c r="C74" s="55" t="s">
        <v>78</v>
      </c>
      <c r="D74" s="62">
        <v>27831227802225.332</v>
      </c>
      <c r="E74" s="62">
        <v>1978471888270.9299</v>
      </c>
      <c r="F74" s="62">
        <v>2671198716642.6802</v>
      </c>
      <c r="G74" s="62">
        <v>2172252795152.5801</v>
      </c>
      <c r="H74" s="63">
        <v>7.1088200000746463E-2</v>
      </c>
      <c r="I74" s="63">
        <v>0.13834143908577903</v>
      </c>
      <c r="J74" s="63">
        <v>9.5978471938959739E-2</v>
      </c>
    </row>
    <row r="75" spans="1:10" ht="13.5" customHeight="1">
      <c r="A75" s="61">
        <v>2025</v>
      </c>
      <c r="B75" s="59" t="s">
        <v>22</v>
      </c>
      <c r="C75" s="55" t="s">
        <v>79</v>
      </c>
      <c r="D75" s="62">
        <v>1507949.77</v>
      </c>
      <c r="E75" s="62">
        <v>1507949.77</v>
      </c>
      <c r="F75" s="62">
        <v>1507949.77</v>
      </c>
      <c r="G75" s="62">
        <v>95960439.340000004</v>
      </c>
      <c r="H75" s="63">
        <v>1</v>
      </c>
      <c r="I75" s="63">
        <v>1</v>
      </c>
      <c r="J75" s="63">
        <v>1</v>
      </c>
    </row>
    <row r="76" spans="1:10" ht="13.5" customHeight="1">
      <c r="A76" s="61">
        <v>2025</v>
      </c>
      <c r="B76" s="59" t="s">
        <v>22</v>
      </c>
      <c r="C76" s="55" t="s">
        <v>80</v>
      </c>
      <c r="D76" s="62">
        <v>15405748441708.539</v>
      </c>
      <c r="E76" s="62">
        <v>338924615223.29999</v>
      </c>
      <c r="F76" s="62">
        <v>978499965897.67969</v>
      </c>
      <c r="G76" s="62">
        <v>158969033544.63</v>
      </c>
      <c r="H76" s="63">
        <v>2.1999879882870031E-2</v>
      </c>
      <c r="I76" s="63">
        <v>3.1988608181262951E-2</v>
      </c>
      <c r="J76" s="63">
        <v>6.3515250141859478E-2</v>
      </c>
    </row>
    <row r="77" spans="1:10" ht="13.5" customHeight="1">
      <c r="A77" s="61">
        <v>2025</v>
      </c>
      <c r="B77" s="60" t="s">
        <v>18</v>
      </c>
      <c r="C77" s="55" t="s">
        <v>77</v>
      </c>
      <c r="D77" s="62">
        <v>55500583173925.719</v>
      </c>
      <c r="E77" s="62">
        <v>2531233566056.0005</v>
      </c>
      <c r="F77" s="62">
        <v>5975094271751.9805</v>
      </c>
      <c r="G77" s="62">
        <v>3508020476861.7798</v>
      </c>
      <c r="H77" s="63">
        <v>4.5607332775652328E-2</v>
      </c>
      <c r="I77" s="63">
        <v>0.10234531355220745</v>
      </c>
      <c r="J77" s="63">
        <v>0.10765822501409483</v>
      </c>
    </row>
    <row r="78" spans="1:10" ht="13.5" customHeight="1">
      <c r="A78" s="61">
        <v>2025</v>
      </c>
      <c r="B78" s="60" t="s">
        <v>18</v>
      </c>
      <c r="C78" s="55" t="s">
        <v>78</v>
      </c>
      <c r="D78" s="62">
        <v>24258390580561.5</v>
      </c>
      <c r="E78" s="62">
        <v>1299797903758.6899</v>
      </c>
      <c r="F78" s="62">
        <v>2462644674304.9297</v>
      </c>
      <c r="G78" s="62">
        <v>9330022633414.0508</v>
      </c>
      <c r="H78" s="63">
        <v>5.358137422357407E-2</v>
      </c>
      <c r="I78" s="63">
        <v>0.31647284048386837</v>
      </c>
      <c r="J78" s="63">
        <v>0.10151723240363161</v>
      </c>
    </row>
    <row r="79" spans="1:10" ht="13.5" customHeight="1">
      <c r="A79" s="61">
        <v>2025</v>
      </c>
      <c r="B79" s="60" t="s">
        <v>18</v>
      </c>
      <c r="C79" s="55" t="s">
        <v>79</v>
      </c>
      <c r="D79" s="62">
        <v>104533972.75</v>
      </c>
      <c r="E79" s="62">
        <v>9675122.3800000008</v>
      </c>
      <c r="F79" s="62">
        <v>9675122.3800000008</v>
      </c>
      <c r="G79" s="62">
        <v>19859549485.259998</v>
      </c>
      <c r="H79" s="63">
        <v>9.2554813765078112E-2</v>
      </c>
      <c r="I79" s="63">
        <v>0.99524852465330982</v>
      </c>
      <c r="J79" s="63">
        <v>9.2554813765078112E-2</v>
      </c>
    </row>
    <row r="80" spans="1:10" ht="13.5" customHeight="1">
      <c r="A80" s="61">
        <v>2025</v>
      </c>
      <c r="B80" s="60" t="s">
        <v>18</v>
      </c>
      <c r="C80" s="55" t="s">
        <v>80</v>
      </c>
      <c r="D80" s="62">
        <v>37044605683116.844</v>
      </c>
      <c r="E80" s="62">
        <v>1361241969830.4897</v>
      </c>
      <c r="F80" s="62">
        <v>3047965966686.0703</v>
      </c>
      <c r="G80" s="62">
        <v>526910086479.75</v>
      </c>
      <c r="H80" s="63">
        <v>3.6746024008858021E-2</v>
      </c>
      <c r="I80" s="63">
        <v>5.0254881061736652E-2</v>
      </c>
      <c r="J80" s="63">
        <v>8.2278267253231618E-2</v>
      </c>
    </row>
    <row r="81" spans="1:10" ht="13.5" customHeight="1">
      <c r="A81" s="61">
        <v>2025</v>
      </c>
      <c r="B81" s="59" t="s">
        <v>17</v>
      </c>
      <c r="C81" s="55" t="s">
        <v>77</v>
      </c>
      <c r="D81" s="62">
        <v>58022387109504.281</v>
      </c>
      <c r="E81" s="62">
        <v>2008698343447.7097</v>
      </c>
      <c r="F81" s="62">
        <v>4698285676613.3701</v>
      </c>
      <c r="G81" s="62">
        <v>2340970227597.5</v>
      </c>
      <c r="H81" s="63">
        <v>3.4619367515106553E-2</v>
      </c>
      <c r="I81" s="63">
        <v>7.2058095555459209E-2</v>
      </c>
      <c r="J81" s="63">
        <v>8.0973670865116365E-2</v>
      </c>
    </row>
    <row r="82" spans="1:10" ht="13.5" customHeight="1">
      <c r="A82" s="61">
        <v>2025</v>
      </c>
      <c r="B82" s="59" t="s">
        <v>17</v>
      </c>
      <c r="C82" s="55" t="s">
        <v>78</v>
      </c>
      <c r="D82" s="62">
        <v>20997473797888.813</v>
      </c>
      <c r="E82" s="62">
        <v>1134431560371.98</v>
      </c>
      <c r="F82" s="62">
        <v>1925804390278.78</v>
      </c>
      <c r="G82" s="62">
        <v>4295713233848</v>
      </c>
      <c r="H82" s="63">
        <v>5.4027049696142075E-2</v>
      </c>
      <c r="I82" s="63">
        <v>0.21468804178004403</v>
      </c>
      <c r="J82" s="63">
        <v>9.1716003973411772E-2</v>
      </c>
    </row>
    <row r="83" spans="1:10" ht="13.5" customHeight="1">
      <c r="A83" s="61">
        <v>2025</v>
      </c>
      <c r="B83" s="59" t="s">
        <v>17</v>
      </c>
      <c r="C83" s="55" t="s">
        <v>79</v>
      </c>
      <c r="D83" s="62"/>
      <c r="E83" s="62"/>
      <c r="F83" s="62"/>
      <c r="G83" s="62">
        <v>115804990774</v>
      </c>
      <c r="H83" s="63"/>
      <c r="I83" s="63">
        <v>1</v>
      </c>
      <c r="J83" s="63"/>
    </row>
    <row r="84" spans="1:10" ht="13.5" customHeight="1">
      <c r="A84" s="61">
        <v>2025</v>
      </c>
      <c r="B84" s="59" t="s">
        <v>17</v>
      </c>
      <c r="C84" s="55" t="s">
        <v>80</v>
      </c>
      <c r="D84" s="62">
        <v>13146013206528.979</v>
      </c>
      <c r="E84" s="62">
        <v>404428746890.77002</v>
      </c>
      <c r="F84" s="62">
        <v>616569407550.41992</v>
      </c>
      <c r="G84" s="62">
        <v>38424015183</v>
      </c>
      <c r="H84" s="63">
        <v>3.0764364871466138E-2</v>
      </c>
      <c r="I84" s="63">
        <v>3.3589053110623879E-2</v>
      </c>
      <c r="J84" s="63">
        <v>4.6901626969627581E-2</v>
      </c>
    </row>
    <row r="85" spans="1:10" ht="13.5" customHeight="1">
      <c r="A85" s="61">
        <v>2025</v>
      </c>
      <c r="B85" s="59" t="s">
        <v>19</v>
      </c>
      <c r="C85" s="55" t="s">
        <v>77</v>
      </c>
      <c r="D85" s="62">
        <v>34338459385974.949</v>
      </c>
      <c r="E85" s="62">
        <v>1031110922960.79</v>
      </c>
      <c r="F85" s="62">
        <v>3410805354157.8896</v>
      </c>
      <c r="G85" s="62">
        <v>2276073561437.8999</v>
      </c>
      <c r="H85" s="63">
        <v>3.0027873742697161E-2</v>
      </c>
      <c r="I85" s="63">
        <v>9.0324366260484346E-2</v>
      </c>
      <c r="J85" s="63">
        <v>9.932901519603364E-2</v>
      </c>
    </row>
    <row r="86" spans="1:10" ht="13.5" customHeight="1">
      <c r="A86" s="61">
        <v>2025</v>
      </c>
      <c r="B86" s="59" t="s">
        <v>19</v>
      </c>
      <c r="C86" s="55" t="s">
        <v>78</v>
      </c>
      <c r="D86" s="62">
        <v>12947381696075.24</v>
      </c>
      <c r="E86" s="62">
        <v>513388715230.88</v>
      </c>
      <c r="F86" s="62">
        <v>1083109624781.4301</v>
      </c>
      <c r="G86" s="62">
        <v>2080708313728.6399</v>
      </c>
      <c r="H86" s="63">
        <v>3.965193328520656E-2</v>
      </c>
      <c r="I86" s="63">
        <v>0.17261654856120823</v>
      </c>
      <c r="J86" s="63">
        <v>8.3654722646336652E-2</v>
      </c>
    </row>
    <row r="87" spans="1:10" ht="13.5" customHeight="1">
      <c r="A87" s="61">
        <v>2025</v>
      </c>
      <c r="B87" s="59" t="s">
        <v>19</v>
      </c>
      <c r="C87" s="55" t="s">
        <v>80</v>
      </c>
      <c r="D87" s="62">
        <v>3833753236449.0601</v>
      </c>
      <c r="E87" s="62">
        <v>70591974676.709991</v>
      </c>
      <c r="F87" s="62">
        <v>246812489392.97</v>
      </c>
      <c r="G87" s="62">
        <v>9804366034.9500008</v>
      </c>
      <c r="H87" s="63">
        <v>1.8413280752022122E-2</v>
      </c>
      <c r="I87" s="63">
        <v>2.0917168162043812E-2</v>
      </c>
      <c r="J87" s="63">
        <v>6.437881474645335E-2</v>
      </c>
    </row>
    <row r="88" spans="1:10" ht="13.5" customHeight="1">
      <c r="A88" s="61">
        <v>2025</v>
      </c>
      <c r="B88" s="59" t="s">
        <v>23</v>
      </c>
      <c r="C88" s="55" t="s">
        <v>77</v>
      </c>
      <c r="D88" s="62">
        <v>6089297895370.1602</v>
      </c>
      <c r="E88" s="62">
        <v>124714558048.72002</v>
      </c>
      <c r="F88" s="62">
        <v>274503352827.95999</v>
      </c>
      <c r="G88" s="62">
        <v>296190999995.95001</v>
      </c>
      <c r="H88" s="63">
        <v>2.0480942169629032E-2</v>
      </c>
      <c r="I88" s="63">
        <v>6.5915948636308383E-2</v>
      </c>
      <c r="J88" s="63">
        <v>4.5079639318791005E-2</v>
      </c>
    </row>
    <row r="89" spans="1:10" ht="13.5" customHeight="1">
      <c r="A89" s="61">
        <v>2025</v>
      </c>
      <c r="B89" s="59" t="s">
        <v>23</v>
      </c>
      <c r="C89" s="55" t="s">
        <v>78</v>
      </c>
      <c r="D89" s="62">
        <v>15497691318040.311</v>
      </c>
      <c r="E89" s="62">
        <v>397071403012.14996</v>
      </c>
      <c r="F89" s="62">
        <v>625477454302.70996</v>
      </c>
      <c r="G89" s="62">
        <v>689937386210.68005</v>
      </c>
      <c r="H89" s="63">
        <v>2.5621326097128628E-2</v>
      </c>
      <c r="I89" s="63">
        <v>6.715058821045071E-2</v>
      </c>
      <c r="J89" s="63">
        <v>4.0359395568462117E-2</v>
      </c>
    </row>
    <row r="90" spans="1:10" ht="13.5" customHeight="1">
      <c r="A90" s="61">
        <v>2025</v>
      </c>
      <c r="B90" s="59" t="s">
        <v>23</v>
      </c>
      <c r="C90" s="55" t="s">
        <v>79</v>
      </c>
      <c r="D90" s="62">
        <v>50126379</v>
      </c>
      <c r="E90" s="62">
        <v>19299580</v>
      </c>
      <c r="F90" s="62">
        <v>19299580</v>
      </c>
      <c r="G90" s="62">
        <v>626648682.84000003</v>
      </c>
      <c r="H90" s="63">
        <v>0.38501843510380035</v>
      </c>
      <c r="I90" s="63">
        <v>0.9544504507654451</v>
      </c>
      <c r="J90" s="63">
        <v>0.38501843510380035</v>
      </c>
    </row>
    <row r="91" spans="1:10" ht="13.5" customHeight="1">
      <c r="A91" s="61">
        <v>2025</v>
      </c>
      <c r="B91" s="59" t="s">
        <v>23</v>
      </c>
      <c r="C91" s="55" t="s">
        <v>80</v>
      </c>
      <c r="D91" s="62">
        <v>891089358837.56006</v>
      </c>
      <c r="E91" s="62">
        <v>32249792538.75</v>
      </c>
      <c r="F91" s="62">
        <v>40070092346.129997</v>
      </c>
      <c r="G91" s="62">
        <v>14913712622.73</v>
      </c>
      <c r="H91" s="63">
        <v>3.619142369831501E-2</v>
      </c>
      <c r="I91" s="63">
        <v>5.2056672485074645E-2</v>
      </c>
      <c r="J91" s="63">
        <v>4.4967535465132318E-2</v>
      </c>
    </row>
    <row r="92" spans="1:10" ht="13.5" customHeight="1">
      <c r="A92" s="61">
        <v>2025</v>
      </c>
      <c r="B92" s="59" t="s">
        <v>16</v>
      </c>
      <c r="C92" s="55" t="s">
        <v>77</v>
      </c>
      <c r="D92" s="62">
        <v>131228534907410.66</v>
      </c>
      <c r="E92" s="62">
        <v>3979743066567.3506</v>
      </c>
      <c r="F92" s="62">
        <v>9299031972492.2695</v>
      </c>
      <c r="G92" s="62">
        <v>3912414024996.5801</v>
      </c>
      <c r="H92" s="63">
        <v>3.032681169057698E-2</v>
      </c>
      <c r="I92" s="63">
        <v>5.8399450010605675E-2</v>
      </c>
      <c r="J92" s="63">
        <v>7.0861356328128455E-2</v>
      </c>
    </row>
    <row r="93" spans="1:10" ht="13.5" customHeight="1">
      <c r="A93" s="61">
        <v>2025</v>
      </c>
      <c r="B93" s="59" t="s">
        <v>16</v>
      </c>
      <c r="C93" s="55" t="s">
        <v>78</v>
      </c>
      <c r="D93" s="62">
        <v>40689444554115.641</v>
      </c>
      <c r="E93" s="62">
        <v>2099722338780.6199</v>
      </c>
      <c r="F93" s="62">
        <v>4620314229054.6201</v>
      </c>
      <c r="G93" s="62">
        <v>4424498557637.8799</v>
      </c>
      <c r="H93" s="63">
        <v>5.1603612725360681E-2</v>
      </c>
      <c r="I93" s="63">
        <v>0.14461650758961805</v>
      </c>
      <c r="J93" s="63">
        <v>0.11355068322227285</v>
      </c>
    </row>
    <row r="94" spans="1:10" ht="13.5" customHeight="1">
      <c r="A94" s="61">
        <v>2025</v>
      </c>
      <c r="B94" s="59" t="s">
        <v>16</v>
      </c>
      <c r="C94" s="55" t="s">
        <v>79</v>
      </c>
      <c r="D94" s="62">
        <v>1011232786187.85</v>
      </c>
      <c r="E94" s="62">
        <v>73740010288.73999</v>
      </c>
      <c r="F94" s="62">
        <v>98587143684.119995</v>
      </c>
      <c r="G94" s="62">
        <v>99194149261.309998</v>
      </c>
      <c r="H94" s="63">
        <v>7.2920905350315451E-2</v>
      </c>
      <c r="I94" s="63">
        <v>0.15573663969174104</v>
      </c>
      <c r="J94" s="63">
        <v>9.749203648328518E-2</v>
      </c>
    </row>
    <row r="95" spans="1:10" ht="13.5" customHeight="1">
      <c r="A95" s="61">
        <v>2025</v>
      </c>
      <c r="B95" s="59" t="s">
        <v>16</v>
      </c>
      <c r="C95" s="55" t="s">
        <v>80</v>
      </c>
      <c r="D95" s="62">
        <v>29915039175148.191</v>
      </c>
      <c r="E95" s="62">
        <v>855821408786.57007</v>
      </c>
      <c r="F95" s="62">
        <v>1815422684956.1099</v>
      </c>
      <c r="G95" s="62">
        <v>313827755856.58002</v>
      </c>
      <c r="H95" s="63">
        <v>2.8608400068469257E-2</v>
      </c>
      <c r="I95" s="63">
        <v>3.8693119636696631E-2</v>
      </c>
      <c r="J95" s="63">
        <v>6.0685953788229219E-2</v>
      </c>
    </row>
    <row r="96" spans="1:10" ht="13.5" customHeight="1">
      <c r="A96" s="64"/>
      <c r="B96" s="65"/>
      <c r="C96" s="66"/>
      <c r="D96" s="67"/>
      <c r="E96" s="67"/>
      <c r="F96" s="67"/>
      <c r="G96" s="67"/>
      <c r="H96" s="68"/>
      <c r="I96" s="68"/>
      <c r="J96" s="68"/>
    </row>
    <row r="97" spans="1:10" ht="13.5" customHeight="1">
      <c r="A97" s="64"/>
      <c r="B97" s="65"/>
      <c r="C97" s="66"/>
      <c r="D97" s="67"/>
      <c r="E97" s="67"/>
      <c r="F97" s="67"/>
      <c r="G97" s="67"/>
      <c r="H97" s="68"/>
      <c r="I97" s="68"/>
      <c r="J97" s="68"/>
    </row>
    <row r="98" spans="1:10" ht="13.5" customHeight="1">
      <c r="A98" s="51"/>
      <c r="B98" s="181"/>
      <c r="C98" s="181"/>
      <c r="D98" s="181"/>
      <c r="E98" s="181"/>
      <c r="F98" s="181"/>
      <c r="G98" s="181"/>
      <c r="H98" s="181"/>
      <c r="I98" s="181"/>
      <c r="J98" s="181"/>
    </row>
    <row r="99" spans="1:10" ht="13.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</row>
    <row r="100" spans="1:10" ht="13.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</row>
    <row r="101" spans="1:10" ht="12.75" customHeight="1">
      <c r="A101" s="87" t="s">
        <v>68</v>
      </c>
      <c r="B101" s="88" t="s">
        <v>22</v>
      </c>
      <c r="C101" s="181"/>
      <c r="D101" s="181"/>
      <c r="E101" s="181"/>
      <c r="F101" s="181"/>
      <c r="G101" s="181"/>
      <c r="H101" s="181"/>
      <c r="I101" s="181"/>
      <c r="J101" s="181"/>
    </row>
    <row r="102" spans="1:10" ht="13.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</row>
    <row r="103" spans="1:10" ht="13.5" customHeight="1">
      <c r="A103" s="69" t="s">
        <v>81</v>
      </c>
      <c r="B103" s="69" t="s">
        <v>67</v>
      </c>
      <c r="C103" s="70"/>
      <c r="D103" s="70"/>
      <c r="E103" s="71"/>
      <c r="F103" s="181"/>
      <c r="G103" s="181"/>
      <c r="H103" s="181"/>
      <c r="I103" s="181"/>
      <c r="J103" s="181"/>
    </row>
    <row r="104" spans="1:10" ht="13.5" customHeight="1">
      <c r="A104" s="69" t="s">
        <v>69</v>
      </c>
      <c r="B104" s="72">
        <v>2022</v>
      </c>
      <c r="C104" s="73">
        <v>2023</v>
      </c>
      <c r="D104" s="73">
        <v>2024</v>
      </c>
      <c r="E104" s="74" t="s">
        <v>82</v>
      </c>
      <c r="F104" s="181"/>
      <c r="G104" s="181"/>
      <c r="H104" s="181"/>
      <c r="I104" s="181"/>
      <c r="J104" s="181"/>
    </row>
    <row r="105" spans="1:10" ht="13.5" customHeight="1">
      <c r="A105" s="75" t="s">
        <v>77</v>
      </c>
      <c r="B105" s="76">
        <v>0.42487147124634983</v>
      </c>
      <c r="C105" s="77">
        <v>0.41344193722465994</v>
      </c>
      <c r="D105" s="77">
        <v>0.4260250458955151</v>
      </c>
      <c r="E105" s="78">
        <v>0.42139282698081743</v>
      </c>
      <c r="F105" s="36">
        <f t="shared" ref="F105:F108" si="0">(GETPIVOTDATA("Saldo Bruto",$A$103,"Año",2024,"Modalidad De Credito","Comercial")-GETPIVOTDATA("Saldo Bruto",$A$103,"Año",2023,"Modalidad De Credito","Comercial"))/GETPIVOTDATA("Saldo Bruto",$A$103,"Año",2023,"Modalidad De Credito","Comercial")</f>
        <v>3.0435008009401888E-2</v>
      </c>
      <c r="G105" s="181"/>
      <c r="H105" s="181"/>
      <c r="I105" s="181"/>
      <c r="J105" s="181"/>
    </row>
    <row r="106" spans="1:10" ht="13.5" customHeight="1">
      <c r="A106" s="79" t="s">
        <v>78</v>
      </c>
      <c r="B106" s="80">
        <v>0.37032005519436018</v>
      </c>
      <c r="C106" s="81">
        <v>0.3873921348619902</v>
      </c>
      <c r="D106" s="81">
        <v>0.37301739333580008</v>
      </c>
      <c r="E106" s="82">
        <v>0.37703134914128006</v>
      </c>
      <c r="F106" s="36">
        <f t="shared" si="0"/>
        <v>3.0435008009401888E-2</v>
      </c>
      <c r="G106" s="181"/>
      <c r="H106" s="181"/>
      <c r="I106" s="181"/>
      <c r="J106" s="181"/>
    </row>
    <row r="107" spans="1:10" ht="13.5" customHeight="1">
      <c r="A107" s="79" t="s">
        <v>79</v>
      </c>
      <c r="B107" s="80">
        <v>2.1771296302276319E-8</v>
      </c>
      <c r="C107" s="81">
        <v>2.0441311828451656E-8</v>
      </c>
      <c r="D107" s="81">
        <v>2.021209034340083E-8</v>
      </c>
      <c r="E107" s="82">
        <v>2.0785999732003684E-8</v>
      </c>
      <c r="F107" s="36">
        <f t="shared" si="0"/>
        <v>3.0435008009401888E-2</v>
      </c>
      <c r="G107" s="181"/>
      <c r="H107" s="181"/>
      <c r="I107" s="181"/>
      <c r="J107" s="181"/>
    </row>
    <row r="108" spans="1:10" ht="13.5" customHeight="1">
      <c r="A108" s="79" t="s">
        <v>80</v>
      </c>
      <c r="B108" s="80">
        <v>0.20480845178799365</v>
      </c>
      <c r="C108" s="81">
        <v>0.19916590747203805</v>
      </c>
      <c r="D108" s="81">
        <v>0.20095754055659443</v>
      </c>
      <c r="E108" s="82">
        <v>0.20157580309190273</v>
      </c>
      <c r="F108" s="36">
        <f t="shared" si="0"/>
        <v>3.0435008009401888E-2</v>
      </c>
      <c r="G108" s="181"/>
      <c r="H108" s="181"/>
      <c r="I108" s="181"/>
      <c r="J108" s="181"/>
    </row>
    <row r="109" spans="1:10" ht="13.5" customHeight="1">
      <c r="A109" s="83" t="s">
        <v>82</v>
      </c>
      <c r="B109" s="84">
        <v>1</v>
      </c>
      <c r="C109" s="85">
        <v>1</v>
      </c>
      <c r="D109" s="85">
        <v>1</v>
      </c>
      <c r="E109" s="86">
        <v>1</v>
      </c>
      <c r="F109" s="181"/>
      <c r="G109" s="181"/>
      <c r="H109" s="181"/>
      <c r="I109" s="181"/>
      <c r="J109" s="181"/>
    </row>
    <row r="110" spans="1:10" ht="13.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</row>
    <row r="111" spans="1:10" ht="13.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</row>
    <row r="112" spans="1:10" ht="13.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</row>
    <row r="113" spans="1:5" ht="13.5" customHeight="1">
      <c r="A113" s="181"/>
      <c r="B113" s="181"/>
      <c r="C113" s="181"/>
      <c r="D113" s="181"/>
      <c r="E113" s="181"/>
    </row>
    <row r="114" spans="1:5" ht="13.5" customHeight="1">
      <c r="A114" s="181"/>
      <c r="B114" s="181"/>
      <c r="C114" s="181"/>
      <c r="D114" s="181"/>
      <c r="E114" s="181"/>
    </row>
    <row r="115" spans="1:5" ht="13.5" customHeight="1">
      <c r="A115" s="181"/>
      <c r="B115" s="181"/>
      <c r="C115" s="181"/>
      <c r="D115" s="181"/>
      <c r="E115" s="181"/>
    </row>
    <row r="116" spans="1:5" ht="13.5" customHeight="1">
      <c r="A116" s="181"/>
      <c r="B116" s="181"/>
      <c r="C116" s="181"/>
      <c r="D116" s="181"/>
      <c r="E116" s="181"/>
    </row>
    <row r="117" spans="1:5" ht="13.5" customHeight="1">
      <c r="A117" s="181"/>
      <c r="B117" s="181"/>
      <c r="C117" s="181"/>
      <c r="D117" s="181"/>
      <c r="E117" s="181"/>
    </row>
    <row r="118" spans="1:5" ht="13.5" customHeight="1">
      <c r="A118" s="181"/>
      <c r="B118" s="181"/>
      <c r="C118" s="181"/>
      <c r="D118" s="181"/>
      <c r="E118" s="181"/>
    </row>
    <row r="119" spans="1:5" ht="13.5" customHeight="1">
      <c r="A119" s="181"/>
      <c r="B119" s="181"/>
      <c r="C119" s="181"/>
      <c r="D119" s="181"/>
      <c r="E119" s="181"/>
    </row>
    <row r="120" spans="1:5" ht="13.5" customHeight="1">
      <c r="A120" s="52"/>
      <c r="B120" s="52"/>
      <c r="C120" s="181"/>
      <c r="D120" s="181"/>
      <c r="E120" s="181"/>
    </row>
    <row r="121" spans="1:5" ht="13.5" customHeight="1">
      <c r="A121" s="181"/>
      <c r="B121" s="181"/>
      <c r="C121" s="181"/>
      <c r="D121" s="181"/>
      <c r="E121" s="181"/>
    </row>
    <row r="122" spans="1:5" ht="13.5" customHeight="1">
      <c r="A122" s="181"/>
      <c r="B122" s="181"/>
      <c r="C122" s="181"/>
      <c r="D122" s="181"/>
      <c r="E122" s="181"/>
    </row>
    <row r="123" spans="1:5" ht="13.5" customHeight="1">
      <c r="A123" s="181"/>
      <c r="B123" s="181"/>
      <c r="C123" s="181"/>
      <c r="D123" s="181"/>
      <c r="E123" s="181"/>
    </row>
    <row r="124" spans="1:5" ht="13.5" customHeight="1">
      <c r="A124" s="181"/>
      <c r="B124" s="181"/>
      <c r="C124" s="181"/>
      <c r="D124" s="181"/>
      <c r="E124" s="181"/>
    </row>
    <row r="125" spans="1:5" ht="12.75" customHeight="1">
      <c r="A125" s="87" t="s">
        <v>68</v>
      </c>
      <c r="B125" s="88" t="s">
        <v>22</v>
      </c>
      <c r="C125" s="181"/>
      <c r="D125" s="181"/>
      <c r="E125" s="181"/>
    </row>
    <row r="126" spans="1:5" ht="13.5" customHeight="1">
      <c r="A126" s="181"/>
      <c r="B126" s="181"/>
      <c r="C126" s="181"/>
      <c r="D126" s="181"/>
      <c r="E126" s="181"/>
    </row>
    <row r="127" spans="1:5" ht="13.5" customHeight="1">
      <c r="A127" s="69" t="s">
        <v>83</v>
      </c>
      <c r="B127" s="69" t="s">
        <v>67</v>
      </c>
      <c r="C127" s="70"/>
      <c r="D127" s="70"/>
      <c r="E127" s="71"/>
    </row>
    <row r="128" spans="1:5" ht="13.5" customHeight="1">
      <c r="A128" s="69" t="s">
        <v>69</v>
      </c>
      <c r="B128" s="72">
        <v>2022</v>
      </c>
      <c r="C128" s="73">
        <v>2023</v>
      </c>
      <c r="D128" s="73">
        <v>2024</v>
      </c>
      <c r="E128" s="74" t="s">
        <v>82</v>
      </c>
    </row>
    <row r="129" spans="1:5" ht="13.5" customHeight="1">
      <c r="A129" s="75" t="s">
        <v>77</v>
      </c>
      <c r="B129" s="89">
        <v>1.5050198818266308E-2</v>
      </c>
      <c r="C129" s="90">
        <v>1.3246573083287836E-2</v>
      </c>
      <c r="D129" s="90">
        <v>1.2730088219787845E-2</v>
      </c>
      <c r="E129" s="91">
        <v>4.102686012134199E-2</v>
      </c>
    </row>
    <row r="130" spans="1:5" ht="13.5" customHeight="1">
      <c r="A130" s="79" t="s">
        <v>78</v>
      </c>
      <c r="B130" s="92">
        <v>4.5676962579823566E-2</v>
      </c>
      <c r="C130" s="93">
        <v>7.2665080926278741E-2</v>
      </c>
      <c r="D130" s="93">
        <v>9.531194115395647E-2</v>
      </c>
      <c r="E130" s="94">
        <v>0.21365398466005878</v>
      </c>
    </row>
    <row r="131" spans="1:5" ht="13.5" customHeight="1">
      <c r="A131" s="79" t="s">
        <v>79</v>
      </c>
      <c r="B131" s="92">
        <v>1</v>
      </c>
      <c r="C131" s="93">
        <v>1</v>
      </c>
      <c r="D131" s="93">
        <v>1</v>
      </c>
      <c r="E131" s="94">
        <v>3</v>
      </c>
    </row>
    <row r="132" spans="1:5" ht="13.5" customHeight="1">
      <c r="A132" s="79" t="s">
        <v>80</v>
      </c>
      <c r="B132" s="92">
        <v>1.9807207419484923E-2</v>
      </c>
      <c r="C132" s="93">
        <v>2.1973312080085957E-2</v>
      </c>
      <c r="D132" s="93">
        <v>2.470786240421893E-2</v>
      </c>
      <c r="E132" s="94">
        <v>6.6488381903789806E-2</v>
      </c>
    </row>
    <row r="133" spans="1:5" ht="13.5" customHeight="1">
      <c r="A133" s="83" t="s">
        <v>82</v>
      </c>
      <c r="B133" s="95">
        <v>1.0805343688175748</v>
      </c>
      <c r="C133" s="96">
        <v>1.1078849660896526</v>
      </c>
      <c r="D133" s="96">
        <v>1.1327498917779633</v>
      </c>
      <c r="E133" s="97">
        <v>3.3211692266851909</v>
      </c>
    </row>
    <row r="134" spans="1:5" ht="13.5" customHeight="1">
      <c r="A134" s="181"/>
      <c r="B134" s="181"/>
      <c r="C134" s="181"/>
      <c r="D134" s="181"/>
      <c r="E134" s="181"/>
    </row>
    <row r="135" spans="1:5" ht="13.5" customHeight="1">
      <c r="A135" s="51"/>
      <c r="B135" s="181"/>
      <c r="C135" s="181"/>
      <c r="D135" s="181"/>
      <c r="E135" s="181"/>
    </row>
    <row r="136" spans="1:5" ht="13.5" customHeight="1">
      <c r="A136" s="51"/>
      <c r="B136" s="181"/>
      <c r="C136" s="181"/>
      <c r="D136" s="181"/>
      <c r="E136" s="181"/>
    </row>
    <row r="137" spans="1:5" ht="13.5" customHeight="1">
      <c r="A137" s="51"/>
      <c r="B137" s="181"/>
      <c r="C137" s="181"/>
      <c r="D137" s="181"/>
      <c r="E137" s="181"/>
    </row>
    <row r="138" spans="1:5" ht="13.5" customHeight="1">
      <c r="A138" s="51"/>
      <c r="B138" s="181"/>
      <c r="C138" s="181"/>
      <c r="D138" s="181"/>
      <c r="E138" s="181"/>
    </row>
    <row r="139" spans="1:5" ht="13.5" customHeight="1">
      <c r="A139" s="51"/>
      <c r="B139" s="181"/>
      <c r="C139" s="181"/>
      <c r="D139" s="181"/>
      <c r="E139" s="181"/>
    </row>
    <row r="140" spans="1:5" ht="13.5" customHeight="1">
      <c r="A140" s="51"/>
      <c r="B140" s="181"/>
      <c r="C140" s="181"/>
      <c r="D140" s="181"/>
      <c r="E140" s="181"/>
    </row>
    <row r="141" spans="1:5" ht="12.75" customHeight="1">
      <c r="A141" s="87" t="s">
        <v>68</v>
      </c>
      <c r="B141" s="88" t="s">
        <v>84</v>
      </c>
      <c r="C141" s="181"/>
      <c r="D141" s="181"/>
      <c r="E141" s="181"/>
    </row>
    <row r="142" spans="1:5" ht="13.5" customHeight="1">
      <c r="A142" s="181"/>
      <c r="B142" s="181"/>
      <c r="C142" s="181"/>
      <c r="D142" s="181"/>
      <c r="E142" s="181"/>
    </row>
    <row r="143" spans="1:5" ht="13.5" customHeight="1">
      <c r="A143" s="69" t="s">
        <v>81</v>
      </c>
      <c r="B143" s="69" t="s">
        <v>67</v>
      </c>
      <c r="C143" s="70"/>
      <c r="D143" s="70"/>
      <c r="E143" s="71"/>
    </row>
    <row r="144" spans="1:5" ht="13.5" customHeight="1">
      <c r="A144" s="69" t="s">
        <v>69</v>
      </c>
      <c r="B144" s="72">
        <v>2022</v>
      </c>
      <c r="C144" s="73">
        <v>2023</v>
      </c>
      <c r="D144" s="73">
        <v>2024</v>
      </c>
      <c r="E144" s="74" t="s">
        <v>82</v>
      </c>
    </row>
    <row r="145" spans="1:5" ht="13.5" customHeight="1">
      <c r="A145" s="75" t="s">
        <v>77</v>
      </c>
      <c r="B145" s="76">
        <v>0.5524946699190072</v>
      </c>
      <c r="C145" s="77">
        <v>0.55611944874896291</v>
      </c>
      <c r="D145" s="77">
        <v>0.57262553129774518</v>
      </c>
      <c r="E145" s="78">
        <v>0.56065598144515316</v>
      </c>
    </row>
    <row r="146" spans="1:5" ht="13.5" customHeight="1">
      <c r="A146" s="79" t="s">
        <v>78</v>
      </c>
      <c r="B146" s="80">
        <v>0.29643826051872835</v>
      </c>
      <c r="C146" s="81">
        <v>0.28223656020121629</v>
      </c>
      <c r="D146" s="81">
        <v>0.25810359579453251</v>
      </c>
      <c r="E146" s="82">
        <v>0.27848021448911409</v>
      </c>
    </row>
    <row r="147" spans="1:5" ht="13.5" customHeight="1">
      <c r="A147" s="79" t="s">
        <v>79</v>
      </c>
      <c r="B147" s="80">
        <v>1.6302835039338763E-3</v>
      </c>
      <c r="C147" s="81">
        <v>1.5696446625476988E-3</v>
      </c>
      <c r="D147" s="81">
        <v>1.2326092300938166E-3</v>
      </c>
      <c r="E147" s="82">
        <v>1.4726921887918099E-3</v>
      </c>
    </row>
    <row r="148" spans="1:5" ht="13.5" customHeight="1">
      <c r="A148" s="79" t="s">
        <v>80</v>
      </c>
      <c r="B148" s="80">
        <v>0.14943678605833058</v>
      </c>
      <c r="C148" s="81">
        <v>0.16007434638727308</v>
      </c>
      <c r="D148" s="81">
        <v>0.16803826367762853</v>
      </c>
      <c r="E148" s="82">
        <v>0.15939111187694083</v>
      </c>
    </row>
    <row r="149" spans="1:5" ht="13.5" customHeight="1">
      <c r="A149" s="83" t="s">
        <v>82</v>
      </c>
      <c r="B149" s="84">
        <v>1</v>
      </c>
      <c r="C149" s="85">
        <v>1</v>
      </c>
      <c r="D149" s="85">
        <v>1</v>
      </c>
      <c r="E149" s="86">
        <v>1</v>
      </c>
    </row>
    <row r="150" spans="1:5" ht="13.5" customHeight="1">
      <c r="A150" s="51"/>
      <c r="B150" s="181"/>
      <c r="C150" s="181"/>
      <c r="D150" s="181"/>
      <c r="E150" s="181"/>
    </row>
    <row r="151" spans="1:5" ht="13.5" customHeight="1">
      <c r="A151" s="51"/>
      <c r="B151" s="181"/>
      <c r="C151" s="181"/>
      <c r="D151" s="181"/>
      <c r="E151" s="181"/>
    </row>
    <row r="152" spans="1:5" ht="13.5" customHeight="1">
      <c r="A152" s="51"/>
      <c r="B152" s="181"/>
      <c r="C152" s="181"/>
      <c r="D152" s="181"/>
      <c r="E152" s="181"/>
    </row>
    <row r="153" spans="1:5" ht="13.5" customHeight="1">
      <c r="A153" s="51"/>
      <c r="B153" s="181"/>
      <c r="C153" s="181"/>
      <c r="D153" s="181"/>
      <c r="E153" s="181"/>
    </row>
    <row r="154" spans="1:5" ht="13.5" customHeight="1">
      <c r="A154" s="51"/>
      <c r="B154" s="181"/>
      <c r="C154" s="181"/>
      <c r="D154" s="181"/>
      <c r="E154" s="181"/>
    </row>
    <row r="155" spans="1:5" ht="13.5" customHeight="1">
      <c r="A155" s="51"/>
      <c r="B155" s="181"/>
      <c r="C155" s="181"/>
      <c r="D155" s="181"/>
      <c r="E155" s="181"/>
    </row>
    <row r="156" spans="1:5" ht="13.5" customHeight="1">
      <c r="A156" s="51"/>
      <c r="B156" s="181"/>
      <c r="C156" s="181"/>
      <c r="D156" s="181"/>
      <c r="E156" s="181"/>
    </row>
    <row r="157" spans="1:5" ht="13.5" customHeight="1">
      <c r="A157" s="51"/>
      <c r="B157" s="181"/>
      <c r="C157" s="181"/>
      <c r="D157" s="181"/>
      <c r="E157" s="181"/>
    </row>
    <row r="158" spans="1:5" ht="13.5" customHeight="1">
      <c r="A158" s="51"/>
      <c r="B158" s="181"/>
      <c r="C158" s="181"/>
      <c r="D158" s="181"/>
      <c r="E158" s="181"/>
    </row>
    <row r="159" spans="1:5" ht="13.5" customHeight="1">
      <c r="A159" s="51"/>
      <c r="B159" s="181"/>
      <c r="C159" s="181"/>
      <c r="D159" s="181"/>
      <c r="E159" s="181"/>
    </row>
    <row r="160" spans="1:5" ht="13.5" customHeight="1">
      <c r="A160" s="51"/>
      <c r="B160" s="181"/>
      <c r="C160" s="181"/>
      <c r="D160" s="181"/>
      <c r="E160" s="181"/>
    </row>
    <row r="161" spans="1:5" ht="13.5" customHeight="1">
      <c r="A161" s="51"/>
      <c r="B161" s="181"/>
      <c r="C161" s="181"/>
      <c r="D161" s="181"/>
      <c r="E161" s="181"/>
    </row>
    <row r="162" spans="1:5" ht="13.5" customHeight="1">
      <c r="A162" s="51"/>
      <c r="B162" s="181"/>
      <c r="C162" s="181"/>
      <c r="D162" s="181"/>
      <c r="E162" s="181"/>
    </row>
    <row r="163" spans="1:5" ht="13.5" customHeight="1">
      <c r="A163" s="51"/>
      <c r="B163" s="181"/>
      <c r="C163" s="181"/>
      <c r="D163" s="181"/>
      <c r="E163" s="181"/>
    </row>
    <row r="164" spans="1:5" ht="12.75" customHeight="1">
      <c r="A164" s="87" t="s">
        <v>68</v>
      </c>
      <c r="B164" s="88" t="s">
        <v>84</v>
      </c>
      <c r="C164" s="181"/>
      <c r="D164" s="181"/>
      <c r="E164" s="181"/>
    </row>
    <row r="165" spans="1:5" ht="13.5" customHeight="1">
      <c r="A165" s="181"/>
      <c r="B165" s="181"/>
      <c r="C165" s="181"/>
      <c r="D165" s="181"/>
      <c r="E165" s="181"/>
    </row>
    <row r="166" spans="1:5" ht="13.5" customHeight="1">
      <c r="A166" s="69" t="s">
        <v>85</v>
      </c>
      <c r="B166" s="69" t="s">
        <v>67</v>
      </c>
      <c r="C166" s="70"/>
      <c r="D166" s="70"/>
      <c r="E166" s="71"/>
    </row>
    <row r="167" spans="1:5" ht="13.5" customHeight="1">
      <c r="A167" s="69" t="s">
        <v>69</v>
      </c>
      <c r="B167" s="72">
        <v>2022</v>
      </c>
      <c r="C167" s="73">
        <v>2023</v>
      </c>
      <c r="D167" s="73">
        <v>2024</v>
      </c>
      <c r="E167" s="74" t="s">
        <v>82</v>
      </c>
    </row>
    <row r="168" spans="1:5" ht="13.5" customHeight="1">
      <c r="A168" s="75" t="s">
        <v>77</v>
      </c>
      <c r="B168" s="89">
        <v>2.5743033390209797E-2</v>
      </c>
      <c r="C168" s="90">
        <v>3.2314079204910771E-2</v>
      </c>
      <c r="D168" s="90">
        <v>3.1543218862753609E-2</v>
      </c>
      <c r="E168" s="91">
        <v>2.9866777152624726E-2</v>
      </c>
    </row>
    <row r="169" spans="1:5" ht="13.5" customHeight="1">
      <c r="A169" s="79" t="s">
        <v>78</v>
      </c>
      <c r="B169" s="92">
        <v>5.2987035927913734E-2</v>
      </c>
      <c r="C169" s="93">
        <v>8.0720282077387337E-2</v>
      </c>
      <c r="D169" s="93">
        <v>6.7803707459115695E-2</v>
      </c>
      <c r="E169" s="94">
        <v>6.7170341821472246E-2</v>
      </c>
    </row>
    <row r="170" spans="1:5" ht="13.5" customHeight="1">
      <c r="A170" s="79" t="s">
        <v>79</v>
      </c>
      <c r="B170" s="92">
        <v>0.29063199965739045</v>
      </c>
      <c r="C170" s="93">
        <v>0.35197750231153979</v>
      </c>
      <c r="D170" s="93">
        <v>0.52218813848094325</v>
      </c>
      <c r="E170" s="94">
        <v>0.38826588014995783</v>
      </c>
    </row>
    <row r="171" spans="1:5" ht="13.5" customHeight="1">
      <c r="A171" s="79" t="s">
        <v>80</v>
      </c>
      <c r="B171" s="92">
        <v>2.2587057016257645E-2</v>
      </c>
      <c r="C171" s="93">
        <v>2.7073807318121024E-2</v>
      </c>
      <c r="D171" s="93">
        <v>3.1012646207219875E-2</v>
      </c>
      <c r="E171" s="94">
        <v>2.6891170180532845E-2</v>
      </c>
    </row>
    <row r="172" spans="1:5" ht="13.5" customHeight="1">
      <c r="A172" s="83" t="s">
        <v>82</v>
      </c>
      <c r="B172" s="95">
        <v>8.9611424186662583E-2</v>
      </c>
      <c r="C172" s="96">
        <v>0.1130668053547919</v>
      </c>
      <c r="D172" s="96">
        <v>0.14752600554692399</v>
      </c>
      <c r="E172" s="97">
        <v>0.11673474502945948</v>
      </c>
    </row>
    <row r="173" spans="1:5" ht="13.5" customHeight="1">
      <c r="A173" s="51"/>
      <c r="B173" s="181"/>
      <c r="C173" s="181"/>
      <c r="D173" s="181"/>
      <c r="E173" s="181"/>
    </row>
    <row r="174" spans="1:5" ht="13.5" customHeight="1">
      <c r="A174" s="51"/>
      <c r="B174" s="181"/>
      <c r="C174" s="181"/>
      <c r="D174" s="181"/>
      <c r="E174" s="181"/>
    </row>
    <row r="175" spans="1:5" ht="13.5" customHeight="1">
      <c r="A175" s="51"/>
      <c r="B175" s="181"/>
      <c r="C175" s="181"/>
      <c r="D175" s="181"/>
      <c r="E175" s="181"/>
    </row>
    <row r="176" spans="1:5" ht="13.5" customHeight="1">
      <c r="A176" s="51"/>
      <c r="B176" s="181"/>
      <c r="C176" s="181"/>
      <c r="D176" s="181"/>
      <c r="E176" s="181"/>
    </row>
    <row r="177" spans="1:1" ht="13.5" customHeight="1">
      <c r="A177" s="51"/>
    </row>
    <row r="178" spans="1:1" ht="13.5" customHeight="1">
      <c r="A178" s="51"/>
    </row>
    <row r="179" spans="1:1" ht="13.5" customHeight="1">
      <c r="A179" s="51"/>
    </row>
    <row r="180" spans="1:1" ht="13.5" customHeight="1">
      <c r="A180" s="51"/>
    </row>
    <row r="181" spans="1:1" ht="13.5" customHeight="1">
      <c r="A181" s="51"/>
    </row>
    <row r="182" spans="1:1" ht="13.5" customHeight="1">
      <c r="A182" s="51"/>
    </row>
    <row r="183" spans="1:1" ht="13.5" customHeight="1">
      <c r="A183" s="51"/>
    </row>
    <row r="184" spans="1:1" ht="13.5" customHeight="1">
      <c r="A184" s="51"/>
    </row>
    <row r="185" spans="1:1" ht="13.5" customHeight="1">
      <c r="A185" s="51"/>
    </row>
    <row r="186" spans="1:1" ht="13.5" customHeight="1">
      <c r="A186" s="51"/>
    </row>
    <row r="187" spans="1:1" ht="13.5" customHeight="1">
      <c r="A187" s="51"/>
    </row>
    <row r="188" spans="1:1" ht="13.5" customHeight="1">
      <c r="A188" s="51"/>
    </row>
    <row r="189" spans="1:1" ht="13.5" customHeight="1">
      <c r="A189" s="51"/>
    </row>
    <row r="190" spans="1:1" ht="13.5" customHeight="1">
      <c r="A190" s="51"/>
    </row>
    <row r="191" spans="1:1" ht="13.5" customHeight="1">
      <c r="A191" s="51"/>
    </row>
    <row r="192" spans="1:1" ht="13.5" customHeight="1">
      <c r="A192" s="51"/>
    </row>
    <row r="193" spans="1:1" ht="13.5" customHeight="1">
      <c r="A193" s="51"/>
    </row>
    <row r="194" spans="1:1" ht="13.5" customHeight="1">
      <c r="A194" s="51"/>
    </row>
    <row r="195" spans="1:1" ht="13.5" customHeight="1">
      <c r="A195" s="51"/>
    </row>
    <row r="196" spans="1:1" ht="13.5" customHeight="1">
      <c r="A196" s="51"/>
    </row>
    <row r="197" spans="1:1" ht="13.5" customHeight="1">
      <c r="A197" s="51"/>
    </row>
    <row r="198" spans="1:1" ht="13.5" customHeight="1">
      <c r="A198" s="51"/>
    </row>
    <row r="199" spans="1:1" ht="13.5" customHeight="1">
      <c r="A199" s="51"/>
    </row>
    <row r="200" spans="1:1" ht="13.5" customHeight="1">
      <c r="A200" s="51"/>
    </row>
    <row r="201" spans="1:1" ht="13.5" customHeight="1">
      <c r="A201" s="51"/>
    </row>
    <row r="202" spans="1:1" ht="13.5" customHeight="1">
      <c r="A202" s="51"/>
    </row>
    <row r="203" spans="1:1" ht="13.5" customHeight="1">
      <c r="A203" s="51"/>
    </row>
    <row r="204" spans="1:1" ht="13.5" customHeight="1">
      <c r="A204" s="51"/>
    </row>
    <row r="205" spans="1:1" ht="13.5" customHeight="1">
      <c r="A205" s="51"/>
    </row>
    <row r="206" spans="1:1" ht="13.5" customHeight="1">
      <c r="A206" s="51"/>
    </row>
    <row r="207" spans="1:1" ht="13.5" customHeight="1">
      <c r="A207" s="51"/>
    </row>
    <row r="208" spans="1:1" ht="13.5" customHeight="1">
      <c r="A208" s="51"/>
    </row>
    <row r="209" spans="1:1" ht="13.5" customHeight="1">
      <c r="A209" s="51"/>
    </row>
    <row r="210" spans="1:1" ht="13.5" customHeight="1">
      <c r="A210" s="51"/>
    </row>
    <row r="211" spans="1:1" ht="13.5" customHeight="1">
      <c r="A211" s="51"/>
    </row>
    <row r="212" spans="1:1" ht="13.5" customHeight="1">
      <c r="A212" s="51"/>
    </row>
    <row r="213" spans="1:1" ht="13.5" customHeight="1">
      <c r="A213" s="51"/>
    </row>
    <row r="214" spans="1:1" ht="13.5" customHeight="1">
      <c r="A214" s="51"/>
    </row>
    <row r="215" spans="1:1" ht="13.5" customHeight="1">
      <c r="A215" s="51"/>
    </row>
    <row r="216" spans="1:1" ht="13.5" customHeight="1">
      <c r="A216" s="51"/>
    </row>
    <row r="217" spans="1:1" ht="13.5" customHeight="1">
      <c r="A217" s="51"/>
    </row>
    <row r="218" spans="1:1" ht="13.5" customHeight="1">
      <c r="A218" s="51"/>
    </row>
    <row r="219" spans="1:1" ht="13.5" customHeight="1">
      <c r="A219" s="51"/>
    </row>
    <row r="220" spans="1:1" ht="13.5" customHeight="1">
      <c r="A220" s="51"/>
    </row>
    <row r="221" spans="1:1" ht="13.5" customHeight="1">
      <c r="A221" s="51"/>
    </row>
    <row r="222" spans="1:1" ht="13.5" customHeight="1">
      <c r="A222" s="51"/>
    </row>
    <row r="223" spans="1:1" ht="13.5" customHeight="1">
      <c r="A223" s="51"/>
    </row>
    <row r="224" spans="1:1" ht="13.5" customHeight="1">
      <c r="A224" s="51"/>
    </row>
    <row r="225" spans="1:1" ht="13.5" customHeight="1">
      <c r="A225" s="51"/>
    </row>
    <row r="226" spans="1:1" ht="13.5" customHeight="1">
      <c r="A226" s="51"/>
    </row>
    <row r="227" spans="1:1" ht="13.5" customHeight="1">
      <c r="A227" s="51"/>
    </row>
    <row r="228" spans="1:1" ht="13.5" customHeight="1">
      <c r="A228" s="51"/>
    </row>
    <row r="229" spans="1:1" ht="13.5" customHeight="1">
      <c r="A229" s="51"/>
    </row>
    <row r="230" spans="1:1" ht="13.5" customHeight="1">
      <c r="A230" s="51"/>
    </row>
    <row r="231" spans="1:1" ht="13.5" customHeight="1">
      <c r="A231" s="51"/>
    </row>
    <row r="232" spans="1:1" ht="13.5" customHeight="1">
      <c r="A232" s="51"/>
    </row>
    <row r="233" spans="1:1" ht="13.5" customHeight="1">
      <c r="A233" s="51"/>
    </row>
    <row r="234" spans="1:1" ht="13.5" customHeight="1">
      <c r="A234" s="51"/>
    </row>
    <row r="235" spans="1:1" ht="13.5" customHeight="1">
      <c r="A235" s="51"/>
    </row>
    <row r="236" spans="1:1" ht="13.5" customHeight="1">
      <c r="A236" s="51"/>
    </row>
    <row r="237" spans="1:1" ht="13.5" customHeight="1">
      <c r="A237" s="51"/>
    </row>
    <row r="238" spans="1:1" ht="13.5" customHeight="1">
      <c r="A238" s="51"/>
    </row>
    <row r="239" spans="1:1" ht="13.5" customHeight="1">
      <c r="A239" s="51"/>
    </row>
    <row r="240" spans="1:1" ht="13.5" customHeight="1">
      <c r="A240" s="51"/>
    </row>
    <row r="241" spans="1:1" ht="13.5" customHeight="1">
      <c r="A241" s="51"/>
    </row>
    <row r="242" spans="1:1" ht="13.5" customHeight="1">
      <c r="A242" s="51"/>
    </row>
    <row r="243" spans="1:1" ht="13.5" customHeight="1">
      <c r="A243" s="51"/>
    </row>
    <row r="244" spans="1:1" ht="13.5" customHeight="1">
      <c r="A244" s="51"/>
    </row>
    <row r="245" spans="1:1" ht="13.5" customHeight="1">
      <c r="A245" s="51"/>
    </row>
    <row r="246" spans="1:1" ht="13.5" customHeight="1">
      <c r="A246" s="51"/>
    </row>
    <row r="247" spans="1:1" ht="13.5" customHeight="1">
      <c r="A247" s="51"/>
    </row>
    <row r="248" spans="1:1" ht="13.5" customHeight="1">
      <c r="A248" s="51"/>
    </row>
    <row r="249" spans="1:1" ht="13.5" customHeight="1">
      <c r="A249" s="51"/>
    </row>
    <row r="250" spans="1:1" ht="13.5" customHeight="1">
      <c r="A250" s="51"/>
    </row>
    <row r="251" spans="1:1" ht="13.5" customHeight="1">
      <c r="A251" s="51"/>
    </row>
    <row r="252" spans="1:1" ht="13.5" customHeight="1">
      <c r="A252" s="51"/>
    </row>
    <row r="253" spans="1:1" ht="13.5" customHeight="1">
      <c r="A253" s="51"/>
    </row>
    <row r="254" spans="1:1" ht="13.5" customHeight="1">
      <c r="A254" s="51"/>
    </row>
    <row r="255" spans="1:1" ht="13.5" customHeight="1">
      <c r="A255" s="51"/>
    </row>
    <row r="256" spans="1:1" ht="13.5" customHeight="1">
      <c r="A256" s="51"/>
    </row>
    <row r="257" spans="1:1" ht="13.5" customHeight="1">
      <c r="A257" s="51"/>
    </row>
    <row r="258" spans="1:1" ht="13.5" customHeight="1">
      <c r="A258" s="51"/>
    </row>
    <row r="259" spans="1:1" ht="13.5" customHeight="1">
      <c r="A259" s="51"/>
    </row>
    <row r="260" spans="1:1" ht="13.5" customHeight="1">
      <c r="A260" s="51"/>
    </row>
    <row r="261" spans="1:1" ht="13.5" customHeight="1">
      <c r="A261" s="51"/>
    </row>
    <row r="262" spans="1:1" ht="13.5" customHeight="1">
      <c r="A262" s="51"/>
    </row>
    <row r="263" spans="1:1" ht="13.5" customHeight="1">
      <c r="A263" s="51"/>
    </row>
    <row r="264" spans="1:1" ht="13.5" customHeight="1">
      <c r="A264" s="51"/>
    </row>
    <row r="265" spans="1:1" ht="13.5" customHeight="1">
      <c r="A265" s="51"/>
    </row>
    <row r="266" spans="1:1" ht="13.5" customHeight="1">
      <c r="A266" s="51"/>
    </row>
    <row r="267" spans="1:1" ht="13.5" customHeight="1">
      <c r="A267" s="51"/>
    </row>
    <row r="268" spans="1:1" ht="13.5" customHeight="1">
      <c r="A268" s="51"/>
    </row>
    <row r="269" spans="1:1" ht="13.5" customHeight="1">
      <c r="A269" s="51"/>
    </row>
    <row r="270" spans="1:1" ht="13.5" customHeight="1">
      <c r="A270" s="51"/>
    </row>
    <row r="271" spans="1:1" ht="13.5" customHeight="1">
      <c r="A271" s="51"/>
    </row>
    <row r="272" spans="1:1" ht="13.5" customHeight="1">
      <c r="A272" s="51"/>
    </row>
    <row r="273" spans="1:1" ht="13.5" customHeight="1">
      <c r="A273" s="51"/>
    </row>
    <row r="274" spans="1:1" ht="13.5" customHeight="1">
      <c r="A274" s="51"/>
    </row>
    <row r="275" spans="1:1" ht="13.5" customHeight="1">
      <c r="A275" s="51"/>
    </row>
    <row r="276" spans="1:1" ht="13.5" customHeight="1">
      <c r="A276" s="51"/>
    </row>
    <row r="277" spans="1:1" ht="13.5" customHeight="1">
      <c r="A277" s="51"/>
    </row>
    <row r="278" spans="1:1" ht="13.5" customHeight="1">
      <c r="A278" s="51"/>
    </row>
    <row r="279" spans="1:1" ht="13.5" customHeight="1">
      <c r="A279" s="51"/>
    </row>
    <row r="280" spans="1:1" ht="13.5" customHeight="1">
      <c r="A280" s="51"/>
    </row>
    <row r="281" spans="1:1" ht="13.5" customHeight="1">
      <c r="A281" s="51"/>
    </row>
    <row r="282" spans="1:1" ht="13.5" customHeight="1">
      <c r="A282" s="51"/>
    </row>
    <row r="283" spans="1:1" ht="13.5" customHeight="1">
      <c r="A283" s="51"/>
    </row>
    <row r="284" spans="1:1" ht="13.5" customHeight="1">
      <c r="A284" s="51"/>
    </row>
    <row r="285" spans="1:1" ht="13.5" customHeight="1">
      <c r="A285" s="51"/>
    </row>
    <row r="286" spans="1:1" ht="13.5" customHeight="1">
      <c r="A286" s="51"/>
    </row>
    <row r="287" spans="1:1" ht="13.5" customHeight="1">
      <c r="A287" s="51"/>
    </row>
    <row r="288" spans="1:1" ht="13.5" customHeight="1">
      <c r="A288" s="51"/>
    </row>
    <row r="289" spans="1:1" ht="13.5" customHeight="1">
      <c r="A289" s="51"/>
    </row>
    <row r="290" spans="1:1" ht="13.5" customHeight="1">
      <c r="A290" s="51"/>
    </row>
    <row r="291" spans="1:1" ht="13.5" customHeight="1">
      <c r="A291" s="51"/>
    </row>
    <row r="292" spans="1:1" ht="13.5" customHeight="1">
      <c r="A292" s="51"/>
    </row>
    <row r="293" spans="1:1" ht="13.5" customHeight="1">
      <c r="A293" s="51"/>
    </row>
    <row r="294" spans="1:1" ht="13.5" customHeight="1">
      <c r="A294" s="51"/>
    </row>
    <row r="295" spans="1:1" ht="13.5" customHeight="1">
      <c r="A295" s="51"/>
    </row>
    <row r="296" spans="1:1" ht="13.5" customHeight="1">
      <c r="A296" s="51"/>
    </row>
    <row r="297" spans="1:1" ht="13.5" customHeight="1">
      <c r="A297" s="51"/>
    </row>
    <row r="298" spans="1:1" ht="13.5" customHeight="1">
      <c r="A298" s="51"/>
    </row>
    <row r="299" spans="1:1" ht="13.5" customHeight="1">
      <c r="A299" s="51"/>
    </row>
    <row r="300" spans="1:1" ht="13.5" customHeight="1">
      <c r="A300" s="51"/>
    </row>
    <row r="301" spans="1:1" ht="13.5" customHeight="1">
      <c r="A301" s="51"/>
    </row>
    <row r="302" spans="1:1" ht="13.5" customHeight="1">
      <c r="A302" s="51"/>
    </row>
    <row r="303" spans="1:1" ht="13.5" customHeight="1">
      <c r="A303" s="51"/>
    </row>
    <row r="304" spans="1:1" ht="13.5" customHeight="1">
      <c r="A304" s="51"/>
    </row>
    <row r="305" spans="1:1" ht="13.5" customHeight="1">
      <c r="A305" s="51"/>
    </row>
    <row r="306" spans="1:1" ht="13.5" customHeight="1">
      <c r="A306" s="51"/>
    </row>
    <row r="307" spans="1:1" ht="13.5" customHeight="1">
      <c r="A307" s="51"/>
    </row>
    <row r="308" spans="1:1" ht="13.5" customHeight="1">
      <c r="A308" s="51"/>
    </row>
    <row r="309" spans="1:1" ht="13.5" customHeight="1">
      <c r="A309" s="51"/>
    </row>
    <row r="310" spans="1:1" ht="13.5" customHeight="1">
      <c r="A310" s="51"/>
    </row>
    <row r="311" spans="1:1" ht="13.5" customHeight="1">
      <c r="A311" s="51"/>
    </row>
    <row r="312" spans="1:1" ht="13.5" customHeight="1">
      <c r="A312" s="51"/>
    </row>
    <row r="313" spans="1:1" ht="13.5" customHeight="1">
      <c r="A313" s="51"/>
    </row>
    <row r="314" spans="1:1" ht="13.5" customHeight="1">
      <c r="A314" s="51"/>
    </row>
    <row r="315" spans="1:1" ht="13.5" customHeight="1">
      <c r="A315" s="51"/>
    </row>
    <row r="316" spans="1:1" ht="13.5" customHeight="1">
      <c r="A316" s="51"/>
    </row>
    <row r="317" spans="1:1" ht="13.5" customHeight="1">
      <c r="A317" s="51"/>
    </row>
    <row r="318" spans="1:1" ht="13.5" customHeight="1">
      <c r="A318" s="51"/>
    </row>
    <row r="319" spans="1:1" ht="13.5" customHeight="1">
      <c r="A319" s="51"/>
    </row>
    <row r="320" spans="1:1" ht="13.5" customHeight="1">
      <c r="A320" s="51"/>
    </row>
    <row r="321" spans="1:1" ht="13.5" customHeight="1">
      <c r="A321" s="51"/>
    </row>
    <row r="322" spans="1:1" ht="13.5" customHeight="1">
      <c r="A322" s="51"/>
    </row>
    <row r="323" spans="1:1" ht="13.5" customHeight="1">
      <c r="A323" s="51"/>
    </row>
    <row r="324" spans="1:1" ht="13.5" customHeight="1">
      <c r="A324" s="51"/>
    </row>
    <row r="325" spans="1:1" ht="13.5" customHeight="1">
      <c r="A325" s="51"/>
    </row>
    <row r="326" spans="1:1" ht="13.5" customHeight="1">
      <c r="A326" s="51"/>
    </row>
    <row r="327" spans="1:1" ht="13.5" customHeight="1">
      <c r="A327" s="51"/>
    </row>
    <row r="328" spans="1:1" ht="13.5" customHeight="1">
      <c r="A328" s="51"/>
    </row>
    <row r="329" spans="1:1" ht="13.5" customHeight="1">
      <c r="A329" s="51"/>
    </row>
    <row r="330" spans="1:1" ht="13.5" customHeight="1">
      <c r="A330" s="51"/>
    </row>
    <row r="331" spans="1:1" ht="13.5" customHeight="1">
      <c r="A331" s="51"/>
    </row>
    <row r="332" spans="1:1" ht="13.5" customHeight="1">
      <c r="A332" s="51"/>
    </row>
    <row r="333" spans="1:1" ht="13.5" customHeight="1">
      <c r="A333" s="51"/>
    </row>
    <row r="334" spans="1:1" ht="13.5" customHeight="1">
      <c r="A334" s="51"/>
    </row>
    <row r="335" spans="1:1" ht="13.5" customHeight="1">
      <c r="A335" s="51"/>
    </row>
    <row r="336" spans="1:1" ht="13.5" customHeight="1">
      <c r="A336" s="51"/>
    </row>
    <row r="337" spans="1:1" ht="13.5" customHeight="1">
      <c r="A337" s="51"/>
    </row>
    <row r="338" spans="1:1" ht="13.5" customHeight="1">
      <c r="A338" s="51"/>
    </row>
    <row r="339" spans="1:1" ht="13.5" customHeight="1">
      <c r="A339" s="51"/>
    </row>
    <row r="340" spans="1:1" ht="13.5" customHeight="1">
      <c r="A340" s="51"/>
    </row>
    <row r="341" spans="1:1" ht="13.5" customHeight="1">
      <c r="A341" s="51"/>
    </row>
    <row r="342" spans="1:1" ht="13.5" customHeight="1">
      <c r="A342" s="51"/>
    </row>
    <row r="343" spans="1:1" ht="13.5" customHeight="1">
      <c r="A343" s="51"/>
    </row>
    <row r="344" spans="1:1" ht="13.5" customHeight="1">
      <c r="A344" s="51"/>
    </row>
    <row r="345" spans="1:1" ht="13.5" customHeight="1">
      <c r="A345" s="51"/>
    </row>
    <row r="346" spans="1:1" ht="13.5" customHeight="1">
      <c r="A346" s="51"/>
    </row>
    <row r="347" spans="1:1" ht="13.5" customHeight="1">
      <c r="A347" s="51"/>
    </row>
    <row r="348" spans="1:1" ht="13.5" customHeight="1">
      <c r="A348" s="51"/>
    </row>
    <row r="349" spans="1:1" ht="13.5" customHeight="1">
      <c r="A349" s="51"/>
    </row>
    <row r="350" spans="1:1" ht="13.5" customHeight="1">
      <c r="A350" s="51"/>
    </row>
    <row r="351" spans="1:1" ht="13.5" customHeight="1">
      <c r="A351" s="51"/>
    </row>
    <row r="352" spans="1:1" ht="13.5" customHeight="1">
      <c r="A352" s="51"/>
    </row>
    <row r="353" spans="1:1" ht="13.5" customHeight="1">
      <c r="A353" s="51"/>
    </row>
    <row r="354" spans="1:1" ht="13.5" customHeight="1">
      <c r="A354" s="51"/>
    </row>
    <row r="355" spans="1:1" ht="13.5" customHeight="1">
      <c r="A355" s="51"/>
    </row>
    <row r="356" spans="1:1" ht="13.5" customHeight="1">
      <c r="A356" s="51"/>
    </row>
    <row r="357" spans="1:1" ht="13.5" customHeight="1">
      <c r="A357" s="51"/>
    </row>
    <row r="358" spans="1:1" ht="13.5" customHeight="1">
      <c r="A358" s="51"/>
    </row>
    <row r="359" spans="1:1" ht="13.5" customHeight="1">
      <c r="A359" s="51"/>
    </row>
    <row r="360" spans="1:1" ht="13.5" customHeight="1">
      <c r="A360" s="51"/>
    </row>
    <row r="361" spans="1:1" ht="13.5" customHeight="1">
      <c r="A361" s="51"/>
    </row>
    <row r="362" spans="1:1" ht="13.5" customHeight="1">
      <c r="A362" s="51"/>
    </row>
    <row r="363" spans="1:1" ht="13.5" customHeight="1">
      <c r="A363" s="51"/>
    </row>
    <row r="364" spans="1:1" ht="13.5" customHeight="1">
      <c r="A364" s="51"/>
    </row>
    <row r="365" spans="1:1" ht="13.5" customHeight="1">
      <c r="A365" s="51"/>
    </row>
    <row r="366" spans="1:1" ht="13.5" customHeight="1">
      <c r="A366" s="51"/>
    </row>
    <row r="367" spans="1:1" ht="13.5" customHeight="1">
      <c r="A367" s="51"/>
    </row>
    <row r="368" spans="1:1" ht="13.5" customHeight="1">
      <c r="A368" s="51"/>
    </row>
    <row r="369" spans="1:1" ht="13.5" customHeight="1">
      <c r="A369" s="51"/>
    </row>
    <row r="370" spans="1:1" ht="13.5" customHeight="1">
      <c r="A370" s="51"/>
    </row>
    <row r="371" spans="1:1" ht="13.5" customHeight="1">
      <c r="A371" s="51"/>
    </row>
    <row r="372" spans="1:1" ht="13.5" customHeight="1">
      <c r="A372" s="51"/>
    </row>
    <row r="373" spans="1:1" ht="13.5" customHeight="1">
      <c r="A373" s="51"/>
    </row>
    <row r="374" spans="1:1" ht="13.5" customHeight="1">
      <c r="A374" s="51"/>
    </row>
    <row r="375" spans="1:1" ht="13.5" customHeight="1">
      <c r="A375" s="51"/>
    </row>
    <row r="376" spans="1:1" ht="13.5" customHeight="1">
      <c r="A376" s="51"/>
    </row>
    <row r="377" spans="1:1" ht="13.5" customHeight="1">
      <c r="A377" s="51"/>
    </row>
    <row r="378" spans="1:1" ht="13.5" customHeight="1">
      <c r="A378" s="51"/>
    </row>
    <row r="379" spans="1:1" ht="13.5" customHeight="1">
      <c r="A379" s="51"/>
    </row>
    <row r="380" spans="1:1" ht="13.5" customHeight="1">
      <c r="A380" s="51"/>
    </row>
    <row r="381" spans="1:1" ht="13.5" customHeight="1">
      <c r="A381" s="51"/>
    </row>
    <row r="382" spans="1:1" ht="13.5" customHeight="1">
      <c r="A382" s="51"/>
    </row>
    <row r="383" spans="1:1" ht="13.5" customHeight="1">
      <c r="A383" s="51"/>
    </row>
    <row r="384" spans="1:1" ht="13.5" customHeight="1">
      <c r="A384" s="51"/>
    </row>
    <row r="385" spans="1:1" ht="13.5" customHeight="1">
      <c r="A385" s="51"/>
    </row>
    <row r="386" spans="1:1" ht="13.5" customHeight="1">
      <c r="A386" s="51"/>
    </row>
    <row r="387" spans="1:1" ht="13.5" customHeight="1">
      <c r="A387" s="51"/>
    </row>
    <row r="388" spans="1:1" ht="13.5" customHeight="1">
      <c r="A388" s="51"/>
    </row>
    <row r="389" spans="1:1" ht="13.5" customHeight="1">
      <c r="A389" s="51"/>
    </row>
    <row r="390" spans="1:1" ht="13.5" customHeight="1">
      <c r="A390" s="51"/>
    </row>
    <row r="391" spans="1:1" ht="13.5" customHeight="1">
      <c r="A391" s="51"/>
    </row>
    <row r="392" spans="1:1" ht="13.5" customHeight="1">
      <c r="A392" s="51"/>
    </row>
    <row r="393" spans="1:1" ht="13.5" customHeight="1">
      <c r="A393" s="51"/>
    </row>
    <row r="394" spans="1:1" ht="13.5" customHeight="1">
      <c r="A394" s="51"/>
    </row>
    <row r="395" spans="1:1" ht="13.5" customHeight="1">
      <c r="A395" s="51"/>
    </row>
    <row r="396" spans="1:1" ht="13.5" customHeight="1">
      <c r="A396" s="51"/>
    </row>
    <row r="397" spans="1:1" ht="13.5" customHeight="1">
      <c r="A397" s="51"/>
    </row>
    <row r="398" spans="1:1" ht="13.5" customHeight="1">
      <c r="A398" s="51"/>
    </row>
    <row r="399" spans="1:1" ht="13.5" customHeight="1">
      <c r="A399" s="51"/>
    </row>
    <row r="400" spans="1:1" ht="13.5" customHeight="1">
      <c r="A400" s="51"/>
    </row>
    <row r="401" spans="1:1" ht="13.5" customHeight="1">
      <c r="A401" s="51"/>
    </row>
    <row r="402" spans="1:1" ht="13.5" customHeight="1">
      <c r="A402" s="51"/>
    </row>
    <row r="403" spans="1:1" ht="13.5" customHeight="1">
      <c r="A403" s="51"/>
    </row>
    <row r="404" spans="1:1" ht="13.5" customHeight="1">
      <c r="A404" s="51"/>
    </row>
    <row r="405" spans="1:1" ht="13.5" customHeight="1">
      <c r="A405" s="51"/>
    </row>
    <row r="406" spans="1:1" ht="13.5" customHeight="1">
      <c r="A406" s="51"/>
    </row>
    <row r="407" spans="1:1" ht="13.5" customHeight="1">
      <c r="A407" s="51"/>
    </row>
    <row r="408" spans="1:1" ht="13.5" customHeight="1">
      <c r="A408" s="51"/>
    </row>
    <row r="409" spans="1:1" ht="13.5" customHeight="1">
      <c r="A409" s="51"/>
    </row>
    <row r="410" spans="1:1" ht="13.5" customHeight="1">
      <c r="A410" s="51"/>
    </row>
    <row r="411" spans="1:1" ht="13.5" customHeight="1">
      <c r="A411" s="51"/>
    </row>
    <row r="412" spans="1:1" ht="13.5" customHeight="1">
      <c r="A412" s="51"/>
    </row>
    <row r="413" spans="1:1" ht="13.5" customHeight="1">
      <c r="A413" s="51"/>
    </row>
    <row r="414" spans="1:1" ht="13.5" customHeight="1">
      <c r="A414" s="51"/>
    </row>
    <row r="415" spans="1:1" ht="13.5" customHeight="1">
      <c r="A415" s="51"/>
    </row>
    <row r="416" spans="1:1" ht="13.5" customHeight="1">
      <c r="A416" s="51"/>
    </row>
    <row r="417" spans="1:1" ht="13.5" customHeight="1">
      <c r="A417" s="51"/>
    </row>
    <row r="418" spans="1:1" ht="13.5" customHeight="1">
      <c r="A418" s="51"/>
    </row>
    <row r="419" spans="1:1" ht="13.5" customHeight="1">
      <c r="A419" s="51"/>
    </row>
    <row r="420" spans="1:1" ht="13.5" customHeight="1">
      <c r="A420" s="51"/>
    </row>
    <row r="421" spans="1:1" ht="13.5" customHeight="1">
      <c r="A421" s="51"/>
    </row>
    <row r="422" spans="1:1" ht="13.5" customHeight="1">
      <c r="A422" s="51"/>
    </row>
    <row r="423" spans="1:1" ht="13.5" customHeight="1">
      <c r="A423" s="51"/>
    </row>
    <row r="424" spans="1:1" ht="13.5" customHeight="1">
      <c r="A424" s="51"/>
    </row>
    <row r="425" spans="1:1" ht="13.5" customHeight="1">
      <c r="A425" s="51"/>
    </row>
    <row r="426" spans="1:1" ht="13.5" customHeight="1">
      <c r="A426" s="51"/>
    </row>
    <row r="427" spans="1:1" ht="13.5" customHeight="1">
      <c r="A427" s="51"/>
    </row>
    <row r="428" spans="1:1" ht="13.5" customHeight="1">
      <c r="A428" s="51"/>
    </row>
    <row r="429" spans="1:1" ht="13.5" customHeight="1">
      <c r="A429" s="51"/>
    </row>
    <row r="430" spans="1:1" ht="13.5" customHeight="1">
      <c r="A430" s="51"/>
    </row>
    <row r="431" spans="1:1" ht="13.5" customHeight="1">
      <c r="A431" s="51"/>
    </row>
    <row r="432" spans="1:1" ht="13.5" customHeight="1">
      <c r="A432" s="51"/>
    </row>
    <row r="433" spans="1:1" ht="13.5" customHeight="1">
      <c r="A433" s="51"/>
    </row>
    <row r="434" spans="1:1" ht="13.5" customHeight="1">
      <c r="A434" s="51"/>
    </row>
    <row r="435" spans="1:1" ht="13.5" customHeight="1">
      <c r="A435" s="51"/>
    </row>
    <row r="436" spans="1:1" ht="13.5" customHeight="1">
      <c r="A436" s="51"/>
    </row>
    <row r="437" spans="1:1" ht="13.5" customHeight="1">
      <c r="A437" s="51"/>
    </row>
    <row r="438" spans="1:1" ht="13.5" customHeight="1">
      <c r="A438" s="51"/>
    </row>
    <row r="439" spans="1:1" ht="13.5" customHeight="1">
      <c r="A439" s="51"/>
    </row>
    <row r="440" spans="1:1" ht="13.5" customHeight="1">
      <c r="A440" s="51"/>
    </row>
    <row r="441" spans="1:1" ht="13.5" customHeight="1">
      <c r="A441" s="51"/>
    </row>
    <row r="442" spans="1:1" ht="13.5" customHeight="1">
      <c r="A442" s="51"/>
    </row>
    <row r="443" spans="1:1" ht="13.5" customHeight="1">
      <c r="A443" s="51"/>
    </row>
    <row r="444" spans="1:1" ht="13.5" customHeight="1">
      <c r="A444" s="51"/>
    </row>
    <row r="445" spans="1:1" ht="13.5" customHeight="1">
      <c r="A445" s="51"/>
    </row>
    <row r="446" spans="1:1" ht="13.5" customHeight="1">
      <c r="A446" s="51"/>
    </row>
    <row r="447" spans="1:1" ht="13.5" customHeight="1">
      <c r="A447" s="51"/>
    </row>
    <row r="448" spans="1:1" ht="13.5" customHeight="1">
      <c r="A448" s="51"/>
    </row>
    <row r="449" spans="1:1" ht="13.5" customHeight="1">
      <c r="A449" s="51"/>
    </row>
    <row r="450" spans="1:1" ht="13.5" customHeight="1">
      <c r="A450" s="51"/>
    </row>
    <row r="451" spans="1:1" ht="13.5" customHeight="1">
      <c r="A451" s="51"/>
    </row>
    <row r="452" spans="1:1" ht="13.5" customHeight="1">
      <c r="A452" s="51"/>
    </row>
    <row r="453" spans="1:1" ht="13.5" customHeight="1">
      <c r="A453" s="51"/>
    </row>
    <row r="454" spans="1:1" ht="13.5" customHeight="1">
      <c r="A454" s="51"/>
    </row>
    <row r="455" spans="1:1" ht="13.5" customHeight="1">
      <c r="A455" s="51"/>
    </row>
    <row r="456" spans="1:1" ht="13.5" customHeight="1">
      <c r="A456" s="51"/>
    </row>
    <row r="457" spans="1:1" ht="13.5" customHeight="1">
      <c r="A457" s="51"/>
    </row>
    <row r="458" spans="1:1" ht="13.5" customHeight="1">
      <c r="A458" s="51"/>
    </row>
    <row r="459" spans="1:1" ht="13.5" customHeight="1">
      <c r="A459" s="51"/>
    </row>
    <row r="460" spans="1:1" ht="13.5" customHeight="1">
      <c r="A460" s="51"/>
    </row>
    <row r="461" spans="1:1" ht="13.5" customHeight="1">
      <c r="A461" s="51"/>
    </row>
    <row r="462" spans="1:1" ht="13.5" customHeight="1">
      <c r="A462" s="51"/>
    </row>
    <row r="463" spans="1:1" ht="13.5" customHeight="1">
      <c r="A463" s="51"/>
    </row>
    <row r="464" spans="1:1" ht="13.5" customHeight="1">
      <c r="A464" s="51"/>
    </row>
    <row r="465" spans="1:1" ht="13.5" customHeight="1">
      <c r="A465" s="51"/>
    </row>
    <row r="466" spans="1:1" ht="13.5" customHeight="1">
      <c r="A466" s="51"/>
    </row>
    <row r="467" spans="1:1" ht="13.5" customHeight="1">
      <c r="A467" s="51"/>
    </row>
    <row r="468" spans="1:1" ht="13.5" customHeight="1">
      <c r="A468" s="51"/>
    </row>
    <row r="469" spans="1:1" ht="13.5" customHeight="1">
      <c r="A469" s="51"/>
    </row>
    <row r="470" spans="1:1" ht="13.5" customHeight="1">
      <c r="A470" s="51"/>
    </row>
    <row r="471" spans="1:1" ht="13.5" customHeight="1">
      <c r="A471" s="51"/>
    </row>
    <row r="472" spans="1:1" ht="13.5" customHeight="1">
      <c r="A472" s="51"/>
    </row>
    <row r="473" spans="1:1" ht="13.5" customHeight="1">
      <c r="A473" s="51"/>
    </row>
    <row r="474" spans="1:1" ht="13.5" customHeight="1">
      <c r="A474" s="51"/>
    </row>
    <row r="475" spans="1:1" ht="13.5" customHeight="1">
      <c r="A475" s="51"/>
    </row>
    <row r="476" spans="1:1" ht="13.5" customHeight="1">
      <c r="A476" s="51"/>
    </row>
    <row r="477" spans="1:1" ht="13.5" customHeight="1">
      <c r="A477" s="51"/>
    </row>
    <row r="478" spans="1:1" ht="13.5" customHeight="1">
      <c r="A478" s="51"/>
    </row>
    <row r="479" spans="1:1" ht="13.5" customHeight="1">
      <c r="A479" s="51"/>
    </row>
    <row r="480" spans="1:1" ht="13.5" customHeight="1">
      <c r="A480" s="51"/>
    </row>
    <row r="481" spans="1:1" ht="13.5" customHeight="1">
      <c r="A481" s="51"/>
    </row>
    <row r="482" spans="1:1" ht="13.5" customHeight="1">
      <c r="A482" s="51"/>
    </row>
    <row r="483" spans="1:1" ht="13.5" customHeight="1">
      <c r="A483" s="51"/>
    </row>
    <row r="484" spans="1:1" ht="13.5" customHeight="1">
      <c r="A484" s="51"/>
    </row>
    <row r="485" spans="1:1" ht="13.5" customHeight="1">
      <c r="A485" s="51"/>
    </row>
    <row r="486" spans="1:1" ht="13.5" customHeight="1">
      <c r="A486" s="51"/>
    </row>
    <row r="487" spans="1:1" ht="13.5" customHeight="1">
      <c r="A487" s="51"/>
    </row>
    <row r="488" spans="1:1" ht="13.5" customHeight="1">
      <c r="A488" s="51"/>
    </row>
    <row r="489" spans="1:1" ht="13.5" customHeight="1">
      <c r="A489" s="51"/>
    </row>
    <row r="490" spans="1:1" ht="13.5" customHeight="1">
      <c r="A490" s="51"/>
    </row>
    <row r="491" spans="1:1" ht="13.5" customHeight="1">
      <c r="A491" s="51"/>
    </row>
    <row r="492" spans="1:1" ht="13.5" customHeight="1">
      <c r="A492" s="51"/>
    </row>
    <row r="493" spans="1:1" ht="13.5" customHeight="1">
      <c r="A493" s="51"/>
    </row>
    <row r="494" spans="1:1" ht="13.5" customHeight="1">
      <c r="A494" s="51"/>
    </row>
    <row r="495" spans="1:1" ht="13.5" customHeight="1">
      <c r="A495" s="51"/>
    </row>
    <row r="496" spans="1:1" ht="13.5" customHeight="1">
      <c r="A496" s="51"/>
    </row>
    <row r="497" spans="1:1" ht="13.5" customHeight="1">
      <c r="A497" s="51"/>
    </row>
    <row r="498" spans="1:1" ht="13.5" customHeight="1">
      <c r="A498" s="51"/>
    </row>
    <row r="499" spans="1:1" ht="13.5" customHeight="1">
      <c r="A499" s="51"/>
    </row>
    <row r="500" spans="1:1" ht="13.5" customHeight="1">
      <c r="A500" s="51"/>
    </row>
    <row r="501" spans="1:1" ht="13.5" customHeight="1">
      <c r="A501" s="51"/>
    </row>
    <row r="502" spans="1:1" ht="13.5" customHeight="1">
      <c r="A502" s="51"/>
    </row>
    <row r="503" spans="1:1" ht="13.5" customHeight="1">
      <c r="A503" s="51"/>
    </row>
    <row r="504" spans="1:1" ht="13.5" customHeight="1">
      <c r="A504" s="51"/>
    </row>
    <row r="505" spans="1:1" ht="13.5" customHeight="1">
      <c r="A505" s="51"/>
    </row>
    <row r="506" spans="1:1" ht="13.5" customHeight="1">
      <c r="A506" s="51"/>
    </row>
    <row r="507" spans="1:1" ht="13.5" customHeight="1">
      <c r="A507" s="51"/>
    </row>
    <row r="508" spans="1:1" ht="13.5" customHeight="1">
      <c r="A508" s="51"/>
    </row>
    <row r="509" spans="1:1" ht="13.5" customHeight="1">
      <c r="A509" s="51"/>
    </row>
    <row r="510" spans="1:1" ht="13.5" customHeight="1">
      <c r="A510" s="51"/>
    </row>
    <row r="511" spans="1:1" ht="13.5" customHeight="1">
      <c r="A511" s="51"/>
    </row>
    <row r="512" spans="1:1" ht="13.5" customHeight="1">
      <c r="A512" s="51"/>
    </row>
    <row r="513" spans="1:1" ht="13.5" customHeight="1">
      <c r="A513" s="51"/>
    </row>
    <row r="514" spans="1:1" ht="13.5" customHeight="1">
      <c r="A514" s="51"/>
    </row>
    <row r="515" spans="1:1" ht="13.5" customHeight="1">
      <c r="A515" s="51"/>
    </row>
    <row r="516" spans="1:1" ht="13.5" customHeight="1">
      <c r="A516" s="51"/>
    </row>
    <row r="517" spans="1:1" ht="13.5" customHeight="1">
      <c r="A517" s="51"/>
    </row>
    <row r="518" spans="1:1" ht="13.5" customHeight="1">
      <c r="A518" s="51"/>
    </row>
    <row r="519" spans="1:1" ht="13.5" customHeight="1">
      <c r="A519" s="51"/>
    </row>
    <row r="520" spans="1:1" ht="13.5" customHeight="1">
      <c r="A520" s="51"/>
    </row>
    <row r="521" spans="1:1" ht="13.5" customHeight="1">
      <c r="A521" s="51"/>
    </row>
    <row r="522" spans="1:1" ht="13.5" customHeight="1">
      <c r="A522" s="51"/>
    </row>
    <row r="523" spans="1:1" ht="13.5" customHeight="1">
      <c r="A523" s="51"/>
    </row>
    <row r="524" spans="1:1" ht="13.5" customHeight="1">
      <c r="A524" s="51"/>
    </row>
    <row r="525" spans="1:1" ht="13.5" customHeight="1">
      <c r="A525" s="51"/>
    </row>
    <row r="526" spans="1:1" ht="13.5" customHeight="1">
      <c r="A526" s="51"/>
    </row>
    <row r="527" spans="1:1" ht="13.5" customHeight="1">
      <c r="A527" s="51"/>
    </row>
    <row r="528" spans="1:1" ht="13.5" customHeight="1">
      <c r="A528" s="51"/>
    </row>
    <row r="529" spans="1:1" ht="13.5" customHeight="1">
      <c r="A529" s="51"/>
    </row>
    <row r="530" spans="1:1" ht="13.5" customHeight="1">
      <c r="A530" s="51"/>
    </row>
    <row r="531" spans="1:1" ht="13.5" customHeight="1">
      <c r="A531" s="51"/>
    </row>
    <row r="532" spans="1:1" ht="13.5" customHeight="1">
      <c r="A532" s="51"/>
    </row>
    <row r="533" spans="1:1" ht="13.5" customHeight="1">
      <c r="A533" s="51"/>
    </row>
    <row r="534" spans="1:1" ht="13.5" customHeight="1">
      <c r="A534" s="51"/>
    </row>
    <row r="535" spans="1:1" ht="13.5" customHeight="1">
      <c r="A535" s="51"/>
    </row>
    <row r="536" spans="1:1" ht="13.5" customHeight="1">
      <c r="A536" s="51"/>
    </row>
    <row r="537" spans="1:1" ht="13.5" customHeight="1">
      <c r="A537" s="51"/>
    </row>
    <row r="538" spans="1:1" ht="13.5" customHeight="1">
      <c r="A538" s="51"/>
    </row>
    <row r="539" spans="1:1" ht="13.5" customHeight="1">
      <c r="A539" s="51"/>
    </row>
    <row r="540" spans="1:1" ht="13.5" customHeight="1">
      <c r="A540" s="51"/>
    </row>
    <row r="541" spans="1:1" ht="13.5" customHeight="1">
      <c r="A541" s="51"/>
    </row>
    <row r="542" spans="1:1" ht="13.5" customHeight="1">
      <c r="A542" s="51"/>
    </row>
    <row r="543" spans="1:1" ht="13.5" customHeight="1">
      <c r="A543" s="51"/>
    </row>
    <row r="544" spans="1:1" ht="13.5" customHeight="1">
      <c r="A544" s="51"/>
    </row>
    <row r="545" spans="1:1" ht="13.5" customHeight="1">
      <c r="A545" s="51"/>
    </row>
    <row r="546" spans="1:1" ht="13.5" customHeight="1">
      <c r="A546" s="51"/>
    </row>
    <row r="547" spans="1:1" ht="13.5" customHeight="1">
      <c r="A547" s="51"/>
    </row>
    <row r="548" spans="1:1" ht="13.5" customHeight="1">
      <c r="A548" s="51"/>
    </row>
    <row r="549" spans="1:1" ht="13.5" customHeight="1">
      <c r="A549" s="51"/>
    </row>
    <row r="550" spans="1:1" ht="13.5" customHeight="1">
      <c r="A550" s="51"/>
    </row>
    <row r="551" spans="1:1" ht="13.5" customHeight="1">
      <c r="A551" s="51"/>
    </row>
    <row r="552" spans="1:1" ht="13.5" customHeight="1">
      <c r="A552" s="51"/>
    </row>
    <row r="553" spans="1:1" ht="13.5" customHeight="1">
      <c r="A553" s="51"/>
    </row>
    <row r="554" spans="1:1" ht="13.5" customHeight="1">
      <c r="A554" s="51"/>
    </row>
    <row r="555" spans="1:1" ht="13.5" customHeight="1">
      <c r="A555" s="51"/>
    </row>
    <row r="556" spans="1:1" ht="13.5" customHeight="1">
      <c r="A556" s="51"/>
    </row>
    <row r="557" spans="1:1" ht="13.5" customHeight="1">
      <c r="A557" s="51"/>
    </row>
    <row r="558" spans="1:1" ht="13.5" customHeight="1">
      <c r="A558" s="51"/>
    </row>
    <row r="559" spans="1:1" ht="13.5" customHeight="1">
      <c r="A559" s="51"/>
    </row>
    <row r="560" spans="1:1" ht="13.5" customHeight="1">
      <c r="A560" s="51"/>
    </row>
    <row r="561" spans="1:1" ht="13.5" customHeight="1">
      <c r="A561" s="51"/>
    </row>
    <row r="562" spans="1:1" ht="13.5" customHeight="1">
      <c r="A562" s="51"/>
    </row>
    <row r="563" spans="1:1" ht="13.5" customHeight="1">
      <c r="A563" s="51"/>
    </row>
    <row r="564" spans="1:1" ht="13.5" customHeight="1">
      <c r="A564" s="51"/>
    </row>
    <row r="565" spans="1:1" ht="13.5" customHeight="1">
      <c r="A565" s="51"/>
    </row>
    <row r="566" spans="1:1" ht="13.5" customHeight="1">
      <c r="A566" s="51"/>
    </row>
    <row r="567" spans="1:1" ht="13.5" customHeight="1">
      <c r="A567" s="51"/>
    </row>
    <row r="568" spans="1:1" ht="13.5" customHeight="1">
      <c r="A568" s="51"/>
    </row>
    <row r="569" spans="1:1" ht="13.5" customHeight="1">
      <c r="A569" s="51"/>
    </row>
    <row r="570" spans="1:1" ht="13.5" customHeight="1">
      <c r="A570" s="51"/>
    </row>
    <row r="571" spans="1:1" ht="13.5" customHeight="1">
      <c r="A571" s="51"/>
    </row>
    <row r="572" spans="1:1" ht="13.5" customHeight="1">
      <c r="A572" s="51"/>
    </row>
    <row r="573" spans="1:1" ht="13.5" customHeight="1">
      <c r="A573" s="51"/>
    </row>
    <row r="574" spans="1:1" ht="13.5" customHeight="1">
      <c r="A574" s="51"/>
    </row>
    <row r="575" spans="1:1" ht="13.5" customHeight="1">
      <c r="A575" s="51"/>
    </row>
    <row r="576" spans="1:1" ht="13.5" customHeight="1">
      <c r="A576" s="51"/>
    </row>
    <row r="577" spans="1:1" ht="13.5" customHeight="1">
      <c r="A577" s="51"/>
    </row>
    <row r="578" spans="1:1" ht="13.5" customHeight="1">
      <c r="A578" s="51"/>
    </row>
    <row r="579" spans="1:1" ht="13.5" customHeight="1">
      <c r="A579" s="51"/>
    </row>
    <row r="580" spans="1:1" ht="13.5" customHeight="1">
      <c r="A580" s="51"/>
    </row>
    <row r="581" spans="1:1" ht="13.5" customHeight="1">
      <c r="A581" s="51"/>
    </row>
    <row r="582" spans="1:1" ht="13.5" customHeight="1">
      <c r="A582" s="51"/>
    </row>
    <row r="583" spans="1:1" ht="13.5" customHeight="1">
      <c r="A583" s="51"/>
    </row>
    <row r="584" spans="1:1" ht="13.5" customHeight="1">
      <c r="A584" s="51"/>
    </row>
    <row r="585" spans="1:1" ht="13.5" customHeight="1">
      <c r="A585" s="51"/>
    </row>
    <row r="586" spans="1:1" ht="13.5" customHeight="1">
      <c r="A586" s="51"/>
    </row>
    <row r="587" spans="1:1" ht="13.5" customHeight="1">
      <c r="A587" s="51"/>
    </row>
    <row r="588" spans="1:1" ht="13.5" customHeight="1">
      <c r="A588" s="51"/>
    </row>
    <row r="589" spans="1:1" ht="13.5" customHeight="1">
      <c r="A589" s="51"/>
    </row>
    <row r="590" spans="1:1" ht="13.5" customHeight="1">
      <c r="A590" s="51"/>
    </row>
    <row r="591" spans="1:1" ht="13.5" customHeight="1">
      <c r="A591" s="51"/>
    </row>
    <row r="592" spans="1:1" ht="13.5" customHeight="1">
      <c r="A592" s="51"/>
    </row>
    <row r="593" spans="1:1" ht="13.5" customHeight="1">
      <c r="A593" s="51"/>
    </row>
    <row r="594" spans="1:1" ht="13.5" customHeight="1">
      <c r="A594" s="51"/>
    </row>
    <row r="595" spans="1:1" ht="13.5" customHeight="1">
      <c r="A595" s="51"/>
    </row>
    <row r="596" spans="1:1" ht="13.5" customHeight="1">
      <c r="A596" s="51"/>
    </row>
    <row r="597" spans="1:1" ht="13.5" customHeight="1">
      <c r="A597" s="51"/>
    </row>
    <row r="598" spans="1:1" ht="13.5" customHeight="1">
      <c r="A598" s="51"/>
    </row>
    <row r="599" spans="1:1" ht="13.5" customHeight="1">
      <c r="A599" s="51"/>
    </row>
    <row r="600" spans="1:1" ht="13.5" customHeight="1">
      <c r="A600" s="51"/>
    </row>
    <row r="601" spans="1:1" ht="13.5" customHeight="1">
      <c r="A601" s="51"/>
    </row>
    <row r="602" spans="1:1" ht="13.5" customHeight="1">
      <c r="A602" s="51"/>
    </row>
    <row r="603" spans="1:1" ht="13.5" customHeight="1">
      <c r="A603" s="51"/>
    </row>
    <row r="604" spans="1:1" ht="13.5" customHeight="1">
      <c r="A604" s="51"/>
    </row>
    <row r="605" spans="1:1" ht="13.5" customHeight="1">
      <c r="A605" s="51"/>
    </row>
    <row r="606" spans="1:1" ht="13.5" customHeight="1">
      <c r="A606" s="51"/>
    </row>
    <row r="607" spans="1:1" ht="13.5" customHeight="1">
      <c r="A607" s="51"/>
    </row>
    <row r="608" spans="1:1" ht="13.5" customHeight="1">
      <c r="A608" s="51"/>
    </row>
    <row r="609" spans="1:1" ht="13.5" customHeight="1">
      <c r="A609" s="51"/>
    </row>
    <row r="610" spans="1:1" ht="13.5" customHeight="1">
      <c r="A610" s="51"/>
    </row>
    <row r="611" spans="1:1" ht="13.5" customHeight="1">
      <c r="A611" s="51"/>
    </row>
    <row r="612" spans="1:1" ht="13.5" customHeight="1">
      <c r="A612" s="51"/>
    </row>
    <row r="613" spans="1:1" ht="13.5" customHeight="1">
      <c r="A613" s="51"/>
    </row>
    <row r="614" spans="1:1" ht="13.5" customHeight="1">
      <c r="A614" s="51"/>
    </row>
    <row r="615" spans="1:1" ht="13.5" customHeight="1">
      <c r="A615" s="51"/>
    </row>
    <row r="616" spans="1:1" ht="13.5" customHeight="1">
      <c r="A616" s="51"/>
    </row>
    <row r="617" spans="1:1" ht="13.5" customHeight="1">
      <c r="A617" s="51"/>
    </row>
    <row r="618" spans="1:1" ht="13.5" customHeight="1">
      <c r="A618" s="51"/>
    </row>
    <row r="619" spans="1:1" ht="13.5" customHeight="1">
      <c r="A619" s="51"/>
    </row>
    <row r="620" spans="1:1" ht="13.5" customHeight="1">
      <c r="A620" s="51"/>
    </row>
    <row r="621" spans="1:1" ht="13.5" customHeight="1">
      <c r="A621" s="51"/>
    </row>
    <row r="622" spans="1:1" ht="13.5" customHeight="1">
      <c r="A622" s="51"/>
    </row>
    <row r="623" spans="1:1" ht="13.5" customHeight="1">
      <c r="A623" s="51"/>
    </row>
    <row r="624" spans="1:1" ht="13.5" customHeight="1">
      <c r="A624" s="51"/>
    </row>
    <row r="625" spans="1:1" ht="13.5" customHeight="1">
      <c r="A625" s="51"/>
    </row>
    <row r="626" spans="1:1" ht="13.5" customHeight="1">
      <c r="A626" s="51"/>
    </row>
    <row r="627" spans="1:1" ht="13.5" customHeight="1">
      <c r="A627" s="51"/>
    </row>
    <row r="628" spans="1:1" ht="13.5" customHeight="1">
      <c r="A628" s="51"/>
    </row>
    <row r="629" spans="1:1" ht="13.5" customHeight="1">
      <c r="A629" s="51"/>
    </row>
    <row r="630" spans="1:1" ht="13.5" customHeight="1">
      <c r="A630" s="51"/>
    </row>
    <row r="631" spans="1:1" ht="13.5" customHeight="1">
      <c r="A631" s="51"/>
    </row>
    <row r="632" spans="1:1" ht="13.5" customHeight="1">
      <c r="A632" s="51"/>
    </row>
    <row r="633" spans="1:1" ht="13.5" customHeight="1">
      <c r="A633" s="51"/>
    </row>
    <row r="634" spans="1:1" ht="13.5" customHeight="1">
      <c r="A634" s="51"/>
    </row>
    <row r="635" spans="1:1" ht="13.5" customHeight="1">
      <c r="A635" s="51"/>
    </row>
    <row r="636" spans="1:1" ht="13.5" customHeight="1">
      <c r="A636" s="51"/>
    </row>
    <row r="637" spans="1:1" ht="13.5" customHeight="1">
      <c r="A637" s="51"/>
    </row>
    <row r="638" spans="1:1" ht="13.5" customHeight="1">
      <c r="A638" s="51"/>
    </row>
    <row r="639" spans="1:1" ht="13.5" customHeight="1">
      <c r="A639" s="51"/>
    </row>
    <row r="640" spans="1:1" ht="13.5" customHeight="1">
      <c r="A640" s="51"/>
    </row>
    <row r="641" spans="1:1" ht="13.5" customHeight="1">
      <c r="A641" s="51"/>
    </row>
    <row r="642" spans="1:1" ht="13.5" customHeight="1">
      <c r="A642" s="51"/>
    </row>
    <row r="643" spans="1:1" ht="13.5" customHeight="1">
      <c r="A643" s="51"/>
    </row>
    <row r="644" spans="1:1" ht="13.5" customHeight="1">
      <c r="A644" s="51"/>
    </row>
    <row r="645" spans="1:1" ht="13.5" customHeight="1">
      <c r="A645" s="51"/>
    </row>
    <row r="646" spans="1:1" ht="13.5" customHeight="1">
      <c r="A646" s="51"/>
    </row>
    <row r="647" spans="1:1" ht="13.5" customHeight="1">
      <c r="A647" s="51"/>
    </row>
    <row r="648" spans="1:1" ht="13.5" customHeight="1">
      <c r="A648" s="51"/>
    </row>
    <row r="649" spans="1:1" ht="13.5" customHeight="1">
      <c r="A649" s="51"/>
    </row>
    <row r="650" spans="1:1" ht="13.5" customHeight="1">
      <c r="A650" s="51"/>
    </row>
    <row r="651" spans="1:1" ht="13.5" customHeight="1">
      <c r="A651" s="51"/>
    </row>
    <row r="652" spans="1:1" ht="13.5" customHeight="1">
      <c r="A652" s="51"/>
    </row>
    <row r="653" spans="1:1" ht="13.5" customHeight="1">
      <c r="A653" s="51"/>
    </row>
    <row r="654" spans="1:1" ht="13.5" customHeight="1">
      <c r="A654" s="51"/>
    </row>
    <row r="655" spans="1:1" ht="13.5" customHeight="1">
      <c r="A655" s="51"/>
    </row>
    <row r="656" spans="1:1" ht="13.5" customHeight="1">
      <c r="A656" s="51"/>
    </row>
    <row r="657" spans="1:1" ht="13.5" customHeight="1">
      <c r="A657" s="51"/>
    </row>
    <row r="658" spans="1:1" ht="13.5" customHeight="1">
      <c r="A658" s="51"/>
    </row>
    <row r="659" spans="1:1" ht="13.5" customHeight="1">
      <c r="A659" s="51"/>
    </row>
    <row r="660" spans="1:1" ht="13.5" customHeight="1">
      <c r="A660" s="51"/>
    </row>
    <row r="661" spans="1:1" ht="13.5" customHeight="1">
      <c r="A661" s="51"/>
    </row>
    <row r="662" spans="1:1" ht="13.5" customHeight="1">
      <c r="A662" s="51"/>
    </row>
    <row r="663" spans="1:1" ht="13.5" customHeight="1">
      <c r="A663" s="51"/>
    </row>
    <row r="664" spans="1:1" ht="13.5" customHeight="1">
      <c r="A664" s="51"/>
    </row>
    <row r="665" spans="1:1" ht="13.5" customHeight="1">
      <c r="A665" s="51"/>
    </row>
    <row r="666" spans="1:1" ht="13.5" customHeight="1">
      <c r="A666" s="51"/>
    </row>
    <row r="667" spans="1:1" ht="13.5" customHeight="1">
      <c r="A667" s="51"/>
    </row>
    <row r="668" spans="1:1" ht="13.5" customHeight="1">
      <c r="A668" s="51"/>
    </row>
    <row r="669" spans="1:1" ht="13.5" customHeight="1">
      <c r="A669" s="51"/>
    </row>
    <row r="670" spans="1:1" ht="13.5" customHeight="1">
      <c r="A670" s="51"/>
    </row>
    <row r="671" spans="1:1" ht="13.5" customHeight="1">
      <c r="A671" s="51"/>
    </row>
    <row r="672" spans="1:1" ht="13.5" customHeight="1">
      <c r="A672" s="51"/>
    </row>
    <row r="673" spans="1:1" ht="13.5" customHeight="1">
      <c r="A673" s="51"/>
    </row>
    <row r="674" spans="1:1" ht="13.5" customHeight="1">
      <c r="A674" s="51"/>
    </row>
    <row r="675" spans="1:1" ht="13.5" customHeight="1">
      <c r="A675" s="51"/>
    </row>
    <row r="676" spans="1:1" ht="13.5" customHeight="1">
      <c r="A676" s="51"/>
    </row>
    <row r="677" spans="1:1" ht="13.5" customHeight="1">
      <c r="A677" s="51"/>
    </row>
    <row r="678" spans="1:1" ht="13.5" customHeight="1">
      <c r="A678" s="51"/>
    </row>
    <row r="679" spans="1:1" ht="13.5" customHeight="1">
      <c r="A679" s="51"/>
    </row>
    <row r="680" spans="1:1" ht="13.5" customHeight="1">
      <c r="A680" s="51"/>
    </row>
    <row r="681" spans="1:1" ht="13.5" customHeight="1">
      <c r="A681" s="51"/>
    </row>
    <row r="682" spans="1:1" ht="13.5" customHeight="1">
      <c r="A682" s="51"/>
    </row>
    <row r="683" spans="1:1" ht="13.5" customHeight="1">
      <c r="A683" s="51"/>
    </row>
    <row r="684" spans="1:1" ht="13.5" customHeight="1">
      <c r="A684" s="51"/>
    </row>
    <row r="685" spans="1:1" ht="13.5" customHeight="1">
      <c r="A685" s="51"/>
    </row>
    <row r="686" spans="1:1" ht="13.5" customHeight="1">
      <c r="A686" s="51"/>
    </row>
    <row r="687" spans="1:1" ht="13.5" customHeight="1">
      <c r="A687" s="51"/>
    </row>
    <row r="688" spans="1:1" ht="13.5" customHeight="1">
      <c r="A688" s="51"/>
    </row>
    <row r="689" spans="1:1" ht="13.5" customHeight="1">
      <c r="A689" s="51"/>
    </row>
    <row r="690" spans="1:1" ht="13.5" customHeight="1">
      <c r="A690" s="51"/>
    </row>
    <row r="691" spans="1:1" ht="13.5" customHeight="1">
      <c r="A691" s="51"/>
    </row>
    <row r="692" spans="1:1" ht="13.5" customHeight="1">
      <c r="A692" s="51"/>
    </row>
    <row r="693" spans="1:1" ht="13.5" customHeight="1">
      <c r="A693" s="51"/>
    </row>
    <row r="694" spans="1:1" ht="13.5" customHeight="1">
      <c r="A694" s="51"/>
    </row>
    <row r="695" spans="1:1" ht="13.5" customHeight="1">
      <c r="A695" s="51"/>
    </row>
    <row r="696" spans="1:1" ht="13.5" customHeight="1">
      <c r="A696" s="51"/>
    </row>
    <row r="697" spans="1:1" ht="13.5" customHeight="1">
      <c r="A697" s="51"/>
    </row>
    <row r="698" spans="1:1" ht="13.5" customHeight="1">
      <c r="A698" s="51"/>
    </row>
    <row r="699" spans="1:1" ht="13.5" customHeight="1">
      <c r="A699" s="51"/>
    </row>
    <row r="700" spans="1:1" ht="13.5" customHeight="1">
      <c r="A700" s="51"/>
    </row>
    <row r="701" spans="1:1" ht="13.5" customHeight="1">
      <c r="A701" s="51"/>
    </row>
    <row r="702" spans="1:1" ht="13.5" customHeight="1">
      <c r="A702" s="51"/>
    </row>
    <row r="703" spans="1:1" ht="13.5" customHeight="1">
      <c r="A703" s="51"/>
    </row>
    <row r="704" spans="1:1" ht="13.5" customHeight="1">
      <c r="A704" s="51"/>
    </row>
    <row r="705" spans="1:1" ht="13.5" customHeight="1">
      <c r="A705" s="51"/>
    </row>
    <row r="706" spans="1:1" ht="13.5" customHeight="1">
      <c r="A706" s="51"/>
    </row>
    <row r="707" spans="1:1" ht="13.5" customHeight="1">
      <c r="A707" s="51"/>
    </row>
    <row r="708" spans="1:1" ht="13.5" customHeight="1">
      <c r="A708" s="51"/>
    </row>
    <row r="709" spans="1:1" ht="13.5" customHeight="1">
      <c r="A709" s="51"/>
    </row>
    <row r="710" spans="1:1" ht="13.5" customHeight="1">
      <c r="A710" s="51"/>
    </row>
    <row r="711" spans="1:1" ht="13.5" customHeight="1">
      <c r="A711" s="51"/>
    </row>
    <row r="712" spans="1:1" ht="13.5" customHeight="1">
      <c r="A712" s="51"/>
    </row>
    <row r="713" spans="1:1" ht="13.5" customHeight="1">
      <c r="A713" s="51"/>
    </row>
    <row r="714" spans="1:1" ht="13.5" customHeight="1">
      <c r="A714" s="51"/>
    </row>
    <row r="715" spans="1:1" ht="13.5" customHeight="1">
      <c r="A715" s="51"/>
    </row>
    <row r="716" spans="1:1" ht="13.5" customHeight="1">
      <c r="A716" s="51"/>
    </row>
    <row r="717" spans="1:1" ht="13.5" customHeight="1">
      <c r="A717" s="51"/>
    </row>
    <row r="718" spans="1:1" ht="13.5" customHeight="1">
      <c r="A718" s="51"/>
    </row>
    <row r="719" spans="1:1" ht="13.5" customHeight="1">
      <c r="A719" s="51"/>
    </row>
    <row r="720" spans="1:1" ht="13.5" customHeight="1">
      <c r="A720" s="51"/>
    </row>
    <row r="721" spans="1:1" ht="13.5" customHeight="1">
      <c r="A721" s="51"/>
    </row>
    <row r="722" spans="1:1" ht="13.5" customHeight="1">
      <c r="A722" s="51"/>
    </row>
    <row r="723" spans="1:1" ht="13.5" customHeight="1">
      <c r="A723" s="51"/>
    </row>
    <row r="724" spans="1:1" ht="13.5" customHeight="1">
      <c r="A724" s="51"/>
    </row>
    <row r="725" spans="1:1" ht="13.5" customHeight="1">
      <c r="A725" s="51"/>
    </row>
    <row r="726" spans="1:1" ht="13.5" customHeight="1">
      <c r="A726" s="51"/>
    </row>
    <row r="727" spans="1:1" ht="13.5" customHeight="1">
      <c r="A727" s="51"/>
    </row>
    <row r="728" spans="1:1" ht="13.5" customHeight="1">
      <c r="A728" s="51"/>
    </row>
    <row r="729" spans="1:1" ht="13.5" customHeight="1">
      <c r="A729" s="51"/>
    </row>
    <row r="730" spans="1:1" ht="13.5" customHeight="1">
      <c r="A730" s="51"/>
    </row>
    <row r="731" spans="1:1" ht="13.5" customHeight="1">
      <c r="A731" s="51"/>
    </row>
    <row r="732" spans="1:1" ht="13.5" customHeight="1">
      <c r="A732" s="51"/>
    </row>
    <row r="733" spans="1:1" ht="13.5" customHeight="1">
      <c r="A733" s="51"/>
    </row>
    <row r="734" spans="1:1" ht="13.5" customHeight="1">
      <c r="A734" s="51"/>
    </row>
    <row r="735" spans="1:1" ht="13.5" customHeight="1">
      <c r="A735" s="51"/>
    </row>
    <row r="736" spans="1:1" ht="13.5" customHeight="1">
      <c r="A736" s="51"/>
    </row>
    <row r="737" spans="1:1" ht="13.5" customHeight="1">
      <c r="A737" s="51"/>
    </row>
    <row r="738" spans="1:1" ht="13.5" customHeight="1">
      <c r="A738" s="51"/>
    </row>
    <row r="739" spans="1:1" ht="13.5" customHeight="1">
      <c r="A739" s="51"/>
    </row>
    <row r="740" spans="1:1" ht="13.5" customHeight="1">
      <c r="A740" s="51"/>
    </row>
    <row r="741" spans="1:1" ht="13.5" customHeight="1">
      <c r="A741" s="51"/>
    </row>
    <row r="742" spans="1:1" ht="13.5" customHeight="1">
      <c r="A742" s="51"/>
    </row>
    <row r="743" spans="1:1" ht="13.5" customHeight="1">
      <c r="A743" s="51"/>
    </row>
    <row r="744" spans="1:1" ht="13.5" customHeight="1">
      <c r="A744" s="51"/>
    </row>
    <row r="745" spans="1:1" ht="13.5" customHeight="1">
      <c r="A745" s="51"/>
    </row>
    <row r="746" spans="1:1" ht="13.5" customHeight="1">
      <c r="A746" s="51"/>
    </row>
    <row r="747" spans="1:1" ht="13.5" customHeight="1">
      <c r="A747" s="51"/>
    </row>
    <row r="748" spans="1:1" ht="13.5" customHeight="1">
      <c r="A748" s="51"/>
    </row>
    <row r="749" spans="1:1" ht="13.5" customHeight="1">
      <c r="A749" s="51"/>
    </row>
    <row r="750" spans="1:1" ht="13.5" customHeight="1">
      <c r="A750" s="51"/>
    </row>
    <row r="751" spans="1:1" ht="13.5" customHeight="1">
      <c r="A751" s="51"/>
    </row>
    <row r="752" spans="1:1" ht="13.5" customHeight="1">
      <c r="A752" s="51"/>
    </row>
    <row r="753" spans="1:1" ht="13.5" customHeight="1">
      <c r="A753" s="51"/>
    </row>
    <row r="754" spans="1:1" ht="13.5" customHeight="1">
      <c r="A754" s="51"/>
    </row>
    <row r="755" spans="1:1" ht="13.5" customHeight="1">
      <c r="A755" s="51"/>
    </row>
    <row r="756" spans="1:1" ht="13.5" customHeight="1">
      <c r="A756" s="51"/>
    </row>
    <row r="757" spans="1:1" ht="13.5" customHeight="1">
      <c r="A757" s="51"/>
    </row>
    <row r="758" spans="1:1" ht="13.5" customHeight="1">
      <c r="A758" s="51"/>
    </row>
    <row r="759" spans="1:1" ht="13.5" customHeight="1">
      <c r="A759" s="51"/>
    </row>
    <row r="760" spans="1:1" ht="13.5" customHeight="1">
      <c r="A760" s="51"/>
    </row>
    <row r="761" spans="1:1" ht="13.5" customHeight="1">
      <c r="A761" s="51"/>
    </row>
    <row r="762" spans="1:1" ht="13.5" customHeight="1">
      <c r="A762" s="51"/>
    </row>
    <row r="763" spans="1:1" ht="13.5" customHeight="1">
      <c r="A763" s="51"/>
    </row>
    <row r="764" spans="1:1" ht="13.5" customHeight="1">
      <c r="A764" s="51"/>
    </row>
    <row r="765" spans="1:1" ht="13.5" customHeight="1">
      <c r="A765" s="51"/>
    </row>
    <row r="766" spans="1:1" ht="13.5" customHeight="1">
      <c r="A766" s="51"/>
    </row>
    <row r="767" spans="1:1" ht="13.5" customHeight="1">
      <c r="A767" s="51"/>
    </row>
    <row r="768" spans="1:1" ht="13.5" customHeight="1">
      <c r="A768" s="51"/>
    </row>
    <row r="769" spans="1:1" ht="13.5" customHeight="1">
      <c r="A769" s="51"/>
    </row>
    <row r="770" spans="1:1" ht="13.5" customHeight="1">
      <c r="A770" s="51"/>
    </row>
    <row r="771" spans="1:1" ht="13.5" customHeight="1">
      <c r="A771" s="51"/>
    </row>
    <row r="772" spans="1:1" ht="13.5" customHeight="1">
      <c r="A772" s="51"/>
    </row>
    <row r="773" spans="1:1" ht="13.5" customHeight="1">
      <c r="A773" s="51"/>
    </row>
    <row r="774" spans="1:1" ht="13.5" customHeight="1">
      <c r="A774" s="51"/>
    </row>
    <row r="775" spans="1:1" ht="13.5" customHeight="1">
      <c r="A775" s="51"/>
    </row>
    <row r="776" spans="1:1" ht="13.5" customHeight="1">
      <c r="A776" s="51"/>
    </row>
    <row r="777" spans="1:1" ht="13.5" customHeight="1">
      <c r="A777" s="51"/>
    </row>
    <row r="778" spans="1:1" ht="13.5" customHeight="1">
      <c r="A778" s="51"/>
    </row>
    <row r="779" spans="1:1" ht="13.5" customHeight="1">
      <c r="A779" s="51"/>
    </row>
    <row r="780" spans="1:1" ht="13.5" customHeight="1">
      <c r="A780" s="51"/>
    </row>
    <row r="781" spans="1:1" ht="13.5" customHeight="1">
      <c r="A781" s="51"/>
    </row>
    <row r="782" spans="1:1" ht="13.5" customHeight="1">
      <c r="A782" s="51"/>
    </row>
    <row r="783" spans="1:1" ht="13.5" customHeight="1">
      <c r="A783" s="51"/>
    </row>
    <row r="784" spans="1:1" ht="13.5" customHeight="1">
      <c r="A784" s="51"/>
    </row>
    <row r="785" spans="1:1" ht="13.5" customHeight="1">
      <c r="A785" s="51"/>
    </row>
    <row r="786" spans="1:1" ht="13.5" customHeight="1">
      <c r="A786" s="51"/>
    </row>
    <row r="787" spans="1:1" ht="13.5" customHeight="1">
      <c r="A787" s="51"/>
    </row>
    <row r="788" spans="1:1" ht="13.5" customHeight="1">
      <c r="A788" s="51"/>
    </row>
    <row r="789" spans="1:1" ht="13.5" customHeight="1">
      <c r="A789" s="51"/>
    </row>
    <row r="790" spans="1:1" ht="13.5" customHeight="1">
      <c r="A790" s="51"/>
    </row>
    <row r="791" spans="1:1" ht="13.5" customHeight="1">
      <c r="A791" s="51"/>
    </row>
    <row r="792" spans="1:1" ht="13.5" customHeight="1">
      <c r="A792" s="51"/>
    </row>
    <row r="793" spans="1:1" ht="13.5" customHeight="1">
      <c r="A793" s="51"/>
    </row>
    <row r="794" spans="1:1" ht="13.5" customHeight="1">
      <c r="A794" s="51"/>
    </row>
    <row r="795" spans="1:1" ht="13.5" customHeight="1">
      <c r="A795" s="51"/>
    </row>
    <row r="796" spans="1:1" ht="13.5" customHeight="1">
      <c r="A796" s="51"/>
    </row>
    <row r="797" spans="1:1" ht="13.5" customHeight="1">
      <c r="A797" s="51"/>
    </row>
    <row r="798" spans="1:1" ht="13.5" customHeight="1">
      <c r="A798" s="51"/>
    </row>
    <row r="799" spans="1:1" ht="13.5" customHeight="1">
      <c r="A799" s="51"/>
    </row>
    <row r="800" spans="1:1" ht="13.5" customHeight="1">
      <c r="A800" s="51"/>
    </row>
    <row r="801" spans="1:1" ht="13.5" customHeight="1">
      <c r="A801" s="51"/>
    </row>
    <row r="802" spans="1:1" ht="13.5" customHeight="1">
      <c r="A802" s="51"/>
    </row>
    <row r="803" spans="1:1" ht="13.5" customHeight="1">
      <c r="A803" s="51"/>
    </row>
    <row r="804" spans="1:1" ht="13.5" customHeight="1">
      <c r="A804" s="51"/>
    </row>
    <row r="805" spans="1:1" ht="13.5" customHeight="1">
      <c r="A805" s="51"/>
    </row>
    <row r="806" spans="1:1" ht="13.5" customHeight="1">
      <c r="A806" s="51"/>
    </row>
    <row r="807" spans="1:1" ht="13.5" customHeight="1">
      <c r="A807" s="51"/>
    </row>
    <row r="808" spans="1:1" ht="13.5" customHeight="1">
      <c r="A808" s="51"/>
    </row>
    <row r="809" spans="1:1" ht="13.5" customHeight="1">
      <c r="A809" s="51"/>
    </row>
    <row r="810" spans="1:1" ht="13.5" customHeight="1">
      <c r="A810" s="51"/>
    </row>
    <row r="811" spans="1:1" ht="13.5" customHeight="1">
      <c r="A811" s="51"/>
    </row>
    <row r="812" spans="1:1" ht="13.5" customHeight="1">
      <c r="A812" s="51"/>
    </row>
    <row r="813" spans="1:1" ht="13.5" customHeight="1">
      <c r="A813" s="51"/>
    </row>
    <row r="814" spans="1:1" ht="13.5" customHeight="1">
      <c r="A814" s="51"/>
    </row>
    <row r="815" spans="1:1" ht="13.5" customHeight="1">
      <c r="A815" s="51"/>
    </row>
    <row r="816" spans="1:1" ht="13.5" customHeight="1">
      <c r="A816" s="51"/>
    </row>
    <row r="817" spans="1:1" ht="13.5" customHeight="1">
      <c r="A817" s="51"/>
    </row>
    <row r="818" spans="1:1" ht="13.5" customHeight="1">
      <c r="A818" s="51"/>
    </row>
    <row r="819" spans="1:1" ht="13.5" customHeight="1">
      <c r="A819" s="51"/>
    </row>
    <row r="820" spans="1:1" ht="13.5" customHeight="1">
      <c r="A820" s="51"/>
    </row>
    <row r="821" spans="1:1" ht="13.5" customHeight="1">
      <c r="A821" s="51"/>
    </row>
    <row r="822" spans="1:1" ht="13.5" customHeight="1">
      <c r="A822" s="51"/>
    </row>
    <row r="823" spans="1:1" ht="13.5" customHeight="1">
      <c r="A823" s="51"/>
    </row>
    <row r="824" spans="1:1" ht="13.5" customHeight="1">
      <c r="A824" s="51"/>
    </row>
    <row r="825" spans="1:1" ht="13.5" customHeight="1">
      <c r="A825" s="51"/>
    </row>
    <row r="826" spans="1:1" ht="13.5" customHeight="1">
      <c r="A826" s="51"/>
    </row>
    <row r="827" spans="1:1" ht="13.5" customHeight="1">
      <c r="A827" s="51"/>
    </row>
    <row r="828" spans="1:1" ht="13.5" customHeight="1">
      <c r="A828" s="51"/>
    </row>
    <row r="829" spans="1:1" ht="13.5" customHeight="1">
      <c r="A829" s="51"/>
    </row>
    <row r="830" spans="1:1" ht="13.5" customHeight="1">
      <c r="A830" s="51"/>
    </row>
    <row r="831" spans="1:1" ht="13.5" customHeight="1">
      <c r="A831" s="51"/>
    </row>
    <row r="832" spans="1:1" ht="13.5" customHeight="1">
      <c r="A832" s="51"/>
    </row>
    <row r="833" spans="1:1" ht="13.5" customHeight="1">
      <c r="A833" s="51"/>
    </row>
    <row r="834" spans="1:1" ht="13.5" customHeight="1">
      <c r="A834" s="51"/>
    </row>
    <row r="835" spans="1:1" ht="13.5" customHeight="1">
      <c r="A835" s="51"/>
    </row>
    <row r="836" spans="1:1" ht="13.5" customHeight="1">
      <c r="A836" s="51"/>
    </row>
    <row r="837" spans="1:1" ht="13.5" customHeight="1">
      <c r="A837" s="51"/>
    </row>
    <row r="838" spans="1:1" ht="13.5" customHeight="1">
      <c r="A838" s="51"/>
    </row>
    <row r="839" spans="1:1" ht="13.5" customHeight="1">
      <c r="A839" s="51"/>
    </row>
    <row r="840" spans="1:1" ht="13.5" customHeight="1">
      <c r="A840" s="51"/>
    </row>
    <row r="841" spans="1:1" ht="13.5" customHeight="1">
      <c r="A841" s="51"/>
    </row>
    <row r="842" spans="1:1" ht="13.5" customHeight="1">
      <c r="A842" s="51"/>
    </row>
    <row r="843" spans="1:1" ht="13.5" customHeight="1">
      <c r="A843" s="51"/>
    </row>
    <row r="844" spans="1:1" ht="13.5" customHeight="1">
      <c r="A844" s="51"/>
    </row>
    <row r="845" spans="1:1" ht="13.5" customHeight="1">
      <c r="A845" s="51"/>
    </row>
    <row r="846" spans="1:1" ht="13.5" customHeight="1">
      <c r="A846" s="51"/>
    </row>
    <row r="847" spans="1:1" ht="13.5" customHeight="1">
      <c r="A847" s="51"/>
    </row>
    <row r="848" spans="1:1" ht="13.5" customHeight="1">
      <c r="A848" s="51"/>
    </row>
    <row r="849" spans="1:1" ht="13.5" customHeight="1">
      <c r="A849" s="51"/>
    </row>
    <row r="850" spans="1:1" ht="13.5" customHeight="1">
      <c r="A850" s="51"/>
    </row>
    <row r="851" spans="1:1" ht="13.5" customHeight="1">
      <c r="A851" s="51"/>
    </row>
    <row r="852" spans="1:1" ht="13.5" customHeight="1">
      <c r="A852" s="51"/>
    </row>
    <row r="853" spans="1:1" ht="13.5" customHeight="1">
      <c r="A853" s="51"/>
    </row>
    <row r="854" spans="1:1" ht="13.5" customHeight="1">
      <c r="A854" s="51"/>
    </row>
    <row r="855" spans="1:1" ht="13.5" customHeight="1">
      <c r="A855" s="51"/>
    </row>
    <row r="856" spans="1:1" ht="13.5" customHeight="1">
      <c r="A856" s="51"/>
    </row>
    <row r="857" spans="1:1" ht="13.5" customHeight="1">
      <c r="A857" s="51"/>
    </row>
    <row r="858" spans="1:1" ht="13.5" customHeight="1">
      <c r="A858" s="51"/>
    </row>
    <row r="859" spans="1:1" ht="13.5" customHeight="1">
      <c r="A859" s="51"/>
    </row>
    <row r="860" spans="1:1" ht="13.5" customHeight="1">
      <c r="A860" s="51"/>
    </row>
    <row r="861" spans="1:1" ht="13.5" customHeight="1">
      <c r="A861" s="51"/>
    </row>
    <row r="862" spans="1:1" ht="13.5" customHeight="1">
      <c r="A862" s="51"/>
    </row>
    <row r="863" spans="1:1" ht="13.5" customHeight="1">
      <c r="A863" s="51"/>
    </row>
    <row r="864" spans="1:1" ht="13.5" customHeight="1">
      <c r="A864" s="51"/>
    </row>
    <row r="865" spans="1:1" ht="13.5" customHeight="1">
      <c r="A865" s="51"/>
    </row>
    <row r="866" spans="1:1" ht="13.5" customHeight="1">
      <c r="A866" s="51"/>
    </row>
    <row r="867" spans="1:1" ht="13.5" customHeight="1">
      <c r="A867" s="51"/>
    </row>
    <row r="868" spans="1:1" ht="13.5" customHeight="1">
      <c r="A868" s="51"/>
    </row>
    <row r="869" spans="1:1" ht="13.5" customHeight="1">
      <c r="A869" s="51"/>
    </row>
    <row r="870" spans="1:1" ht="13.5" customHeight="1">
      <c r="A870" s="51"/>
    </row>
    <row r="871" spans="1:1" ht="13.5" customHeight="1">
      <c r="A871" s="51"/>
    </row>
    <row r="872" spans="1:1" ht="13.5" customHeight="1">
      <c r="A872" s="51"/>
    </row>
    <row r="873" spans="1:1" ht="13.5" customHeight="1">
      <c r="A873" s="51"/>
    </row>
    <row r="874" spans="1:1" ht="13.5" customHeight="1">
      <c r="A874" s="51"/>
    </row>
    <row r="875" spans="1:1" ht="13.5" customHeight="1">
      <c r="A875" s="51"/>
    </row>
    <row r="876" spans="1:1" ht="13.5" customHeight="1">
      <c r="A876" s="51"/>
    </row>
    <row r="877" spans="1:1" ht="13.5" customHeight="1">
      <c r="A877" s="51"/>
    </row>
    <row r="878" spans="1:1" ht="13.5" customHeight="1">
      <c r="A878" s="51"/>
    </row>
    <row r="879" spans="1:1" ht="13.5" customHeight="1">
      <c r="A879" s="51"/>
    </row>
    <row r="880" spans="1:1" ht="13.5" customHeight="1">
      <c r="A880" s="51"/>
    </row>
    <row r="881" spans="1:1" ht="13.5" customHeight="1">
      <c r="A881" s="51"/>
    </row>
    <row r="882" spans="1:1" ht="13.5" customHeight="1">
      <c r="A882" s="51"/>
    </row>
    <row r="883" spans="1:1" ht="13.5" customHeight="1">
      <c r="A883" s="51"/>
    </row>
    <row r="884" spans="1:1" ht="13.5" customHeight="1">
      <c r="A884" s="51"/>
    </row>
    <row r="885" spans="1:1" ht="13.5" customHeight="1">
      <c r="A885" s="51"/>
    </row>
    <row r="886" spans="1:1" ht="13.5" customHeight="1">
      <c r="A886" s="51"/>
    </row>
    <row r="887" spans="1:1" ht="13.5" customHeight="1">
      <c r="A887" s="51"/>
    </row>
    <row r="888" spans="1:1" ht="13.5" customHeight="1">
      <c r="A888" s="51"/>
    </row>
    <row r="889" spans="1:1" ht="13.5" customHeight="1">
      <c r="A889" s="51"/>
    </row>
    <row r="890" spans="1:1" ht="13.5" customHeight="1">
      <c r="A890" s="51"/>
    </row>
    <row r="891" spans="1:1" ht="13.5" customHeight="1">
      <c r="A891" s="51"/>
    </row>
    <row r="892" spans="1:1" ht="13.5" customHeight="1">
      <c r="A892" s="51"/>
    </row>
    <row r="893" spans="1:1" ht="13.5" customHeight="1">
      <c r="A893" s="51"/>
    </row>
    <row r="894" spans="1:1" ht="13.5" customHeight="1">
      <c r="A894" s="51"/>
    </row>
    <row r="895" spans="1:1" ht="13.5" customHeight="1">
      <c r="A895" s="51"/>
    </row>
    <row r="896" spans="1:1" ht="13.5" customHeight="1">
      <c r="A896" s="51"/>
    </row>
    <row r="897" spans="1:1" ht="13.5" customHeight="1">
      <c r="A897" s="51"/>
    </row>
    <row r="898" spans="1:1" ht="13.5" customHeight="1">
      <c r="A898" s="51"/>
    </row>
    <row r="899" spans="1:1" ht="13.5" customHeight="1">
      <c r="A899" s="51"/>
    </row>
    <row r="900" spans="1:1" ht="13.5" customHeight="1">
      <c r="A900" s="51"/>
    </row>
    <row r="901" spans="1:1" ht="13.5" customHeight="1">
      <c r="A901" s="51"/>
    </row>
    <row r="902" spans="1:1" ht="13.5" customHeight="1">
      <c r="A902" s="51"/>
    </row>
    <row r="903" spans="1:1" ht="13.5" customHeight="1">
      <c r="A903" s="51"/>
    </row>
    <row r="904" spans="1:1" ht="13.5" customHeight="1">
      <c r="A904" s="51"/>
    </row>
    <row r="905" spans="1:1" ht="13.5" customHeight="1">
      <c r="A905" s="51"/>
    </row>
    <row r="906" spans="1:1" ht="13.5" customHeight="1">
      <c r="A906" s="51"/>
    </row>
    <row r="907" spans="1:1" ht="13.5" customHeight="1">
      <c r="A907" s="51"/>
    </row>
    <row r="908" spans="1:1" ht="13.5" customHeight="1">
      <c r="A908" s="51"/>
    </row>
    <row r="909" spans="1:1" ht="13.5" customHeight="1">
      <c r="A909" s="51"/>
    </row>
    <row r="910" spans="1:1" ht="13.5" customHeight="1">
      <c r="A910" s="51"/>
    </row>
    <row r="911" spans="1:1" ht="13.5" customHeight="1">
      <c r="A911" s="51"/>
    </row>
    <row r="912" spans="1:1" ht="13.5" customHeight="1">
      <c r="A912" s="51"/>
    </row>
    <row r="913" spans="1:1" ht="13.5" customHeight="1">
      <c r="A913" s="51"/>
    </row>
    <row r="914" spans="1:1" ht="13.5" customHeight="1">
      <c r="A914" s="51"/>
    </row>
    <row r="915" spans="1:1" ht="13.5" customHeight="1">
      <c r="A915" s="51"/>
    </row>
    <row r="916" spans="1:1" ht="13.5" customHeight="1">
      <c r="A916" s="51"/>
    </row>
    <row r="917" spans="1:1" ht="13.5" customHeight="1">
      <c r="A917" s="51"/>
    </row>
    <row r="918" spans="1:1" ht="13.5" customHeight="1">
      <c r="A918" s="51"/>
    </row>
    <row r="919" spans="1:1" ht="13.5" customHeight="1">
      <c r="A919" s="51"/>
    </row>
    <row r="920" spans="1:1" ht="13.5" customHeight="1">
      <c r="A920" s="51"/>
    </row>
    <row r="921" spans="1:1" ht="13.5" customHeight="1">
      <c r="A921" s="51"/>
    </row>
    <row r="922" spans="1:1" ht="13.5" customHeight="1">
      <c r="A922" s="51"/>
    </row>
    <row r="923" spans="1:1" ht="13.5" customHeight="1">
      <c r="A923" s="51"/>
    </row>
    <row r="924" spans="1:1" ht="13.5" customHeight="1">
      <c r="A924" s="51"/>
    </row>
    <row r="925" spans="1:1" ht="13.5" customHeight="1">
      <c r="A925" s="51"/>
    </row>
    <row r="926" spans="1:1" ht="13.5" customHeight="1">
      <c r="A926" s="51"/>
    </row>
    <row r="927" spans="1:1" ht="13.5" customHeight="1">
      <c r="A927" s="51"/>
    </row>
    <row r="928" spans="1:1" ht="13.5" customHeight="1">
      <c r="A928" s="51"/>
    </row>
    <row r="929" spans="1:1" ht="13.5" customHeight="1">
      <c r="A929" s="51"/>
    </row>
    <row r="930" spans="1:1" ht="13.5" customHeight="1">
      <c r="A930" s="51"/>
    </row>
    <row r="931" spans="1:1" ht="13.5" customHeight="1">
      <c r="A931" s="51"/>
    </row>
    <row r="932" spans="1:1" ht="13.5" customHeight="1">
      <c r="A932" s="51"/>
    </row>
    <row r="933" spans="1:1" ht="13.5" customHeight="1">
      <c r="A933" s="51"/>
    </row>
    <row r="934" spans="1:1" ht="13.5" customHeight="1">
      <c r="A934" s="51"/>
    </row>
    <row r="935" spans="1:1" ht="13.5" customHeight="1">
      <c r="A935" s="51"/>
    </row>
    <row r="936" spans="1:1" ht="13.5" customHeight="1">
      <c r="A936" s="51"/>
    </row>
    <row r="937" spans="1:1" ht="13.5" customHeight="1">
      <c r="A937" s="51"/>
    </row>
    <row r="938" spans="1:1" ht="13.5" customHeight="1">
      <c r="A938" s="51"/>
    </row>
    <row r="939" spans="1:1" ht="13.5" customHeight="1">
      <c r="A939" s="51"/>
    </row>
    <row r="940" spans="1:1" ht="13.5" customHeight="1">
      <c r="A940" s="51"/>
    </row>
    <row r="941" spans="1:1" ht="13.5" customHeight="1">
      <c r="A941" s="51"/>
    </row>
    <row r="942" spans="1:1" ht="13.5" customHeight="1">
      <c r="A942" s="51"/>
    </row>
    <row r="943" spans="1:1" ht="13.5" customHeight="1">
      <c r="A943" s="51"/>
    </row>
    <row r="944" spans="1:1" ht="13.5" customHeight="1">
      <c r="A944" s="51"/>
    </row>
    <row r="945" spans="1:1" ht="13.5" customHeight="1">
      <c r="A945" s="51"/>
    </row>
    <row r="946" spans="1:1" ht="13.5" customHeight="1">
      <c r="A946" s="51"/>
    </row>
    <row r="947" spans="1:1" ht="13.5" customHeight="1">
      <c r="A947" s="51"/>
    </row>
    <row r="948" spans="1:1" ht="13.5" customHeight="1">
      <c r="A948" s="51"/>
    </row>
    <row r="949" spans="1:1" ht="13.5" customHeight="1">
      <c r="A949" s="51"/>
    </row>
    <row r="950" spans="1:1" ht="13.5" customHeight="1">
      <c r="A950" s="51"/>
    </row>
    <row r="951" spans="1:1" ht="13.5" customHeight="1">
      <c r="A951" s="51"/>
    </row>
    <row r="952" spans="1:1" ht="13.5" customHeight="1">
      <c r="A952" s="51"/>
    </row>
    <row r="953" spans="1:1" ht="13.5" customHeight="1">
      <c r="A953" s="51"/>
    </row>
    <row r="954" spans="1:1" ht="13.5" customHeight="1">
      <c r="A954" s="51"/>
    </row>
    <row r="955" spans="1:1" ht="13.5" customHeight="1">
      <c r="A955" s="51"/>
    </row>
    <row r="956" spans="1:1" ht="13.5" customHeight="1">
      <c r="A956" s="51"/>
    </row>
    <row r="957" spans="1:1" ht="13.5" customHeight="1">
      <c r="A957" s="51"/>
    </row>
    <row r="958" spans="1:1" ht="13.5" customHeight="1">
      <c r="A958" s="51"/>
    </row>
    <row r="959" spans="1:1" ht="13.5" customHeight="1">
      <c r="A959" s="51"/>
    </row>
    <row r="960" spans="1:1" ht="13.5" customHeight="1">
      <c r="A960" s="51"/>
    </row>
    <row r="961" spans="1:1" ht="13.5" customHeight="1">
      <c r="A961" s="51"/>
    </row>
    <row r="962" spans="1:1" ht="13.5" customHeight="1">
      <c r="A962" s="51"/>
    </row>
    <row r="963" spans="1:1" ht="13.5" customHeight="1">
      <c r="A963" s="51"/>
    </row>
    <row r="964" spans="1:1" ht="13.5" customHeight="1">
      <c r="A964" s="51"/>
    </row>
    <row r="965" spans="1:1" ht="13.5" customHeight="1">
      <c r="A965" s="51"/>
    </row>
    <row r="966" spans="1:1" ht="13.5" customHeight="1">
      <c r="A966" s="51"/>
    </row>
    <row r="967" spans="1:1" ht="13.5" customHeight="1">
      <c r="A967" s="51"/>
    </row>
    <row r="968" spans="1:1" ht="13.5" customHeight="1">
      <c r="A968" s="51"/>
    </row>
    <row r="969" spans="1:1" ht="13.5" customHeight="1">
      <c r="A969" s="51"/>
    </row>
    <row r="970" spans="1:1" ht="13.5" customHeight="1">
      <c r="A970" s="51"/>
    </row>
    <row r="971" spans="1:1" ht="13.5" customHeight="1">
      <c r="A971" s="51"/>
    </row>
    <row r="972" spans="1:1" ht="13.5" customHeight="1">
      <c r="A972" s="51"/>
    </row>
    <row r="973" spans="1:1" ht="13.5" customHeight="1">
      <c r="A973" s="51"/>
    </row>
    <row r="974" spans="1:1" ht="13.5" customHeight="1">
      <c r="A974" s="51"/>
    </row>
    <row r="975" spans="1:1" ht="13.5" customHeight="1">
      <c r="A975" s="51"/>
    </row>
    <row r="976" spans="1:1" ht="13.5" customHeight="1">
      <c r="A976" s="51"/>
    </row>
    <row r="977" spans="1:1" ht="13.5" customHeight="1">
      <c r="A977" s="51"/>
    </row>
    <row r="978" spans="1:1" ht="13.5" customHeight="1">
      <c r="A978" s="51"/>
    </row>
    <row r="979" spans="1:1" ht="13.5" customHeight="1">
      <c r="A979" s="51"/>
    </row>
    <row r="980" spans="1:1" ht="13.5" customHeight="1">
      <c r="A980" s="51"/>
    </row>
    <row r="981" spans="1:1" ht="13.5" customHeight="1">
      <c r="A981" s="51"/>
    </row>
    <row r="982" spans="1:1" ht="13.5" customHeight="1">
      <c r="A982" s="51"/>
    </row>
    <row r="983" spans="1:1" ht="13.5" customHeight="1">
      <c r="A983" s="51"/>
    </row>
    <row r="984" spans="1:1" ht="13.5" customHeight="1">
      <c r="A984" s="51"/>
    </row>
    <row r="985" spans="1:1" ht="13.5" customHeight="1">
      <c r="A985" s="51"/>
    </row>
    <row r="986" spans="1:1" ht="13.5" customHeight="1">
      <c r="A986" s="51"/>
    </row>
    <row r="987" spans="1:1" ht="13.5" customHeight="1">
      <c r="A987" s="51"/>
    </row>
    <row r="988" spans="1:1" ht="13.5" customHeight="1">
      <c r="A988" s="51"/>
    </row>
    <row r="989" spans="1:1" ht="13.5" customHeight="1">
      <c r="A989" s="51"/>
    </row>
    <row r="990" spans="1:1" ht="13.5" customHeight="1">
      <c r="A990" s="51"/>
    </row>
    <row r="991" spans="1:1" ht="13.5" customHeight="1">
      <c r="A991" s="51"/>
    </row>
    <row r="992" spans="1:1" ht="13.5" customHeight="1">
      <c r="A992" s="51"/>
    </row>
    <row r="993" spans="1:1" ht="13.5" customHeight="1">
      <c r="A993" s="51"/>
    </row>
    <row r="994" spans="1:1" ht="13.5" customHeight="1">
      <c r="A994" s="51"/>
    </row>
    <row r="995" spans="1:1" ht="13.5" customHeight="1">
      <c r="A995" s="51"/>
    </row>
    <row r="996" spans="1:1" ht="13.5" customHeight="1">
      <c r="A996" s="51"/>
    </row>
    <row r="997" spans="1:1" ht="13.5" customHeight="1">
      <c r="A997" s="51"/>
    </row>
    <row r="998" spans="1:1" ht="13.5" customHeight="1">
      <c r="A998" s="51"/>
    </row>
    <row r="999" spans="1:1" ht="13.5" customHeight="1">
      <c r="A999" s="51"/>
    </row>
    <row r="1000" spans="1:1" ht="13.5" customHeight="1">
      <c r="A1000" s="51"/>
    </row>
  </sheetData>
  <pageMargins left="0.7" right="0.7" top="0.75" bottom="0.75" header="0" footer="0"/>
  <pageSetup orientation="landscape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UTP</dc:creator>
  <cp:keywords/>
  <dc:description/>
  <cp:lastModifiedBy/>
  <cp:revision/>
  <dcterms:created xsi:type="dcterms:W3CDTF">2025-06-17T20:25:21Z</dcterms:created>
  <dcterms:modified xsi:type="dcterms:W3CDTF">2026-09-14T01:37:48Z</dcterms:modified>
  <cp:category/>
  <cp:contentStatus/>
</cp:coreProperties>
</file>